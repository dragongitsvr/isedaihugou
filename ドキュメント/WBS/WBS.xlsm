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.W\Desktop\仕事\伊勢大富豪\isedaihugou\ドキュメント\WBS\"/>
    </mc:Choice>
  </mc:AlternateContent>
  <bookViews>
    <workbookView xWindow="0" yWindow="0" windowWidth="28800" windowHeight="12450" activeTab="1"/>
  </bookViews>
  <sheets>
    <sheet name="ReadMe" sheetId="4" r:id="rId1"/>
    <sheet name="スケジュール" sheetId="2" r:id="rId2"/>
    <sheet name="休日" sheetId="3" r:id="rId3"/>
  </sheets>
  <definedNames>
    <definedName name="_xlnm.Print_Area" localSheetId="1">スケジュール!$A$1:$AQ$24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18" i="2" l="1"/>
  <c r="Q17" i="2" l="1"/>
  <c r="O16" i="2" l="1"/>
  <c r="M15" i="2" l="1"/>
  <c r="J23" i="2" l="1"/>
  <c r="J24" i="2"/>
  <c r="J8" i="2" l="1"/>
  <c r="G2" i="2" l="1"/>
  <c r="L18" i="2" l="1"/>
  <c r="X18" i="2"/>
  <c r="AJ18" i="2"/>
  <c r="M18" i="2"/>
  <c r="Y18" i="2"/>
  <c r="AK18" i="2"/>
  <c r="AP18" i="2"/>
  <c r="V18" i="2"/>
  <c r="N18" i="2"/>
  <c r="Z18" i="2"/>
  <c r="AL18" i="2"/>
  <c r="AE18" i="2"/>
  <c r="AH18" i="2"/>
  <c r="O18" i="2"/>
  <c r="AA18" i="2"/>
  <c r="AM18" i="2"/>
  <c r="AD18" i="2"/>
  <c r="AG18" i="2"/>
  <c r="P18" i="2"/>
  <c r="AB18" i="2"/>
  <c r="AN18" i="2"/>
  <c r="AF18" i="2"/>
  <c r="AI18" i="2"/>
  <c r="Q18" i="2"/>
  <c r="AC18" i="2"/>
  <c r="AO18" i="2"/>
  <c r="U18" i="2"/>
  <c r="R18" i="2"/>
  <c r="S18" i="2"/>
  <c r="W18" i="2"/>
  <c r="N17" i="2"/>
  <c r="Z17" i="2"/>
  <c r="AL17" i="2"/>
  <c r="O17" i="2"/>
  <c r="AA17" i="2"/>
  <c r="AM17" i="2"/>
  <c r="P17" i="2"/>
  <c r="AB17" i="2"/>
  <c r="AN17" i="2"/>
  <c r="AC17" i="2"/>
  <c r="AO17" i="2"/>
  <c r="X17" i="2"/>
  <c r="Y17" i="2"/>
  <c r="R17" i="2"/>
  <c r="AD17" i="2"/>
  <c r="AP17" i="2"/>
  <c r="S17" i="2"/>
  <c r="AE17" i="2"/>
  <c r="M17" i="2"/>
  <c r="T17" i="2"/>
  <c r="AF17" i="2"/>
  <c r="U17" i="2"/>
  <c r="AG17" i="2"/>
  <c r="V17" i="2"/>
  <c r="AH17" i="2"/>
  <c r="AJ17" i="2"/>
  <c r="W17" i="2"/>
  <c r="AI17" i="2"/>
  <c r="L17" i="2"/>
  <c r="AK17" i="2"/>
  <c r="T16" i="2"/>
  <c r="U16" i="2"/>
  <c r="AG16" i="2"/>
  <c r="AH16" i="2"/>
  <c r="AI16" i="2"/>
  <c r="L16" i="2"/>
  <c r="X16" i="2"/>
  <c r="AJ16" i="2"/>
  <c r="M16" i="2"/>
  <c r="Y16" i="2"/>
  <c r="AK16" i="2"/>
  <c r="Z16" i="2"/>
  <c r="AL16" i="2"/>
  <c r="AA16" i="2"/>
  <c r="AM16" i="2"/>
  <c r="P16" i="2"/>
  <c r="AN16" i="2"/>
  <c r="AC16" i="2"/>
  <c r="AD16" i="2"/>
  <c r="AE16" i="2"/>
  <c r="V16" i="2"/>
  <c r="W16" i="2"/>
  <c r="N16" i="2"/>
  <c r="AB16" i="2"/>
  <c r="Q16" i="2"/>
  <c r="AO16" i="2"/>
  <c r="R16" i="2"/>
  <c r="AP16" i="2"/>
  <c r="S16" i="2"/>
  <c r="AF16" i="2"/>
  <c r="L15" i="2"/>
  <c r="X15" i="2"/>
  <c r="AJ15" i="2"/>
  <c r="N15" i="2"/>
  <c r="O15" i="2"/>
  <c r="AM15" i="2"/>
  <c r="AN15" i="2"/>
  <c r="Y15" i="2"/>
  <c r="AK15" i="2"/>
  <c r="Z15" i="2"/>
  <c r="AL15" i="2"/>
  <c r="AA15" i="2"/>
  <c r="AB15" i="2"/>
  <c r="Q15" i="2"/>
  <c r="AC15" i="2"/>
  <c r="AO15" i="2"/>
  <c r="AE15" i="2"/>
  <c r="AF15" i="2"/>
  <c r="AH15" i="2"/>
  <c r="P15" i="2"/>
  <c r="R15" i="2"/>
  <c r="AD15" i="2"/>
  <c r="AP15" i="2"/>
  <c r="T15" i="2"/>
  <c r="AG15" i="2"/>
  <c r="W15" i="2"/>
  <c r="S15" i="2"/>
  <c r="AI15" i="2"/>
  <c r="U15" i="2"/>
  <c r="V15" i="2"/>
  <c r="J15" i="2"/>
  <c r="J16" i="2"/>
  <c r="J17" i="2"/>
  <c r="J18" i="2"/>
  <c r="J19" i="2"/>
  <c r="J20" i="2"/>
  <c r="J21" i="2"/>
  <c r="J22" i="2"/>
  <c r="J13" i="2"/>
  <c r="J14" i="2"/>
  <c r="J11" i="2"/>
  <c r="J12" i="2"/>
  <c r="J9" i="2"/>
  <c r="J10" i="2"/>
  <c r="L5" i="2"/>
  <c r="L23" i="2" s="1"/>
  <c r="J7" i="2"/>
  <c r="L21" i="2" l="1"/>
  <c r="L20" i="2"/>
  <c r="L10" i="2"/>
  <c r="M5" i="2"/>
  <c r="L13" i="2"/>
  <c r="L4" i="2"/>
  <c r="L7" i="2"/>
  <c r="L22" i="2"/>
  <c r="L24" i="2"/>
  <c r="L11" i="2"/>
  <c r="L12" i="2"/>
  <c r="L14" i="2"/>
  <c r="L6" i="2"/>
  <c r="L8" i="2"/>
  <c r="L9" i="2"/>
  <c r="M10" i="2" l="1"/>
  <c r="M7" i="2"/>
  <c r="M22" i="2"/>
  <c r="M11" i="2"/>
  <c r="M13" i="2"/>
  <c r="M12" i="2"/>
  <c r="M14" i="2"/>
  <c r="M20" i="2"/>
  <c r="M9" i="2"/>
  <c r="M21" i="2"/>
  <c r="M6" i="2"/>
  <c r="M24" i="2"/>
  <c r="N5" i="2"/>
  <c r="M23" i="2"/>
  <c r="M8" i="2"/>
  <c r="M4" i="2"/>
  <c r="N20" i="2" l="1"/>
  <c r="N9" i="2"/>
  <c r="N13" i="2"/>
  <c r="N6" i="2"/>
  <c r="N8" i="2"/>
  <c r="N14" i="2"/>
  <c r="N24" i="2"/>
  <c r="N4" i="2"/>
  <c r="N7" i="2"/>
  <c r="N23" i="2"/>
  <c r="N22" i="2"/>
  <c r="O5" i="2"/>
  <c r="N11" i="2"/>
  <c r="N10" i="2"/>
  <c r="N21" i="2"/>
  <c r="N12" i="2"/>
  <c r="O14" i="2" l="1"/>
  <c r="O7" i="2"/>
  <c r="O13" i="2"/>
  <c r="O9" i="2"/>
  <c r="O6" i="2"/>
  <c r="O20" i="2"/>
  <c r="O12" i="2"/>
  <c r="O8" i="2"/>
  <c r="O24" i="2"/>
  <c r="O11" i="2"/>
  <c r="P5" i="2"/>
  <c r="O22" i="2"/>
  <c r="O4" i="2"/>
  <c r="O10" i="2"/>
  <c r="O23" i="2"/>
  <c r="O21" i="2"/>
  <c r="P22" i="2" l="1"/>
  <c r="P9" i="2"/>
  <c r="P21" i="2"/>
  <c r="Q5" i="2"/>
  <c r="P20" i="2"/>
  <c r="P8" i="2"/>
  <c r="P4" i="2"/>
  <c r="P10" i="2"/>
  <c r="P14" i="2"/>
  <c r="P7" i="2"/>
  <c r="P12" i="2"/>
  <c r="P13" i="2"/>
  <c r="P6" i="2"/>
  <c r="P24" i="2"/>
  <c r="P11" i="2"/>
  <c r="P23" i="2"/>
  <c r="Q20" i="2" l="1"/>
  <c r="Q12" i="2"/>
  <c r="Q10" i="2"/>
  <c r="Q11" i="2"/>
  <c r="R5" i="2"/>
  <c r="Q23" i="2"/>
  <c r="Q24" i="2"/>
  <c r="Q7" i="2"/>
  <c r="Q22" i="2"/>
  <c r="Q6" i="2"/>
  <c r="Q4" i="2"/>
  <c r="Q21" i="2"/>
  <c r="Q9" i="2"/>
  <c r="Q14" i="2"/>
  <c r="Q13" i="2"/>
  <c r="Q8" i="2"/>
  <c r="R22" i="2" l="1"/>
  <c r="R4" i="2"/>
  <c r="R21" i="2"/>
  <c r="R9" i="2"/>
  <c r="R20" i="2"/>
  <c r="R24" i="2"/>
  <c r="R8" i="2"/>
  <c r="R13" i="2"/>
  <c r="R12" i="2"/>
  <c r="R11" i="2"/>
  <c r="R7" i="2"/>
  <c r="R14" i="2"/>
  <c r="R6" i="2"/>
  <c r="S5" i="2"/>
  <c r="R10" i="2"/>
  <c r="R23" i="2"/>
  <c r="S9" i="2" l="1"/>
  <c r="S8" i="2"/>
  <c r="S6" i="2"/>
  <c r="S23" i="2"/>
  <c r="S24" i="2"/>
  <c r="S10" i="2"/>
  <c r="S22" i="2"/>
  <c r="S11" i="2"/>
  <c r="S13" i="2"/>
  <c r="S21" i="2"/>
  <c r="S4" i="2"/>
  <c r="T5" i="2"/>
  <c r="S14" i="2"/>
  <c r="S7" i="2"/>
  <c r="S12" i="2"/>
  <c r="S20" i="2"/>
  <c r="T9" i="2" l="1"/>
  <c r="T21" i="2"/>
  <c r="T6" i="2"/>
  <c r="T22" i="2"/>
  <c r="T10" i="2"/>
  <c r="T14" i="2"/>
  <c r="T24" i="2"/>
  <c r="T11" i="2"/>
  <c r="U5" i="2"/>
  <c r="T20" i="2"/>
  <c r="T4" i="2"/>
  <c r="T7" i="2"/>
  <c r="T12" i="2"/>
  <c r="T23" i="2"/>
  <c r="T8" i="2"/>
  <c r="T13" i="2"/>
  <c r="U24" i="2" l="1"/>
  <c r="U6" i="2"/>
  <c r="U7" i="2"/>
  <c r="U10" i="2"/>
  <c r="U9" i="2"/>
  <c r="U22" i="2"/>
  <c r="U13" i="2"/>
  <c r="U21" i="2"/>
  <c r="U11" i="2"/>
  <c r="U4" i="2"/>
  <c r="U12" i="2"/>
  <c r="U23" i="2"/>
  <c r="U14" i="2"/>
  <c r="U20" i="2"/>
  <c r="V5" i="2"/>
  <c r="U8" i="2"/>
  <c r="V10" i="2" l="1"/>
  <c r="W5" i="2"/>
  <c r="V20" i="2"/>
  <c r="V7" i="2"/>
  <c r="V6" i="2"/>
  <c r="V24" i="2"/>
  <c r="V14" i="2"/>
  <c r="V4" i="2"/>
  <c r="V13" i="2"/>
  <c r="V11" i="2"/>
  <c r="V8" i="2"/>
  <c r="V12" i="2"/>
  <c r="V23" i="2"/>
  <c r="V9" i="2"/>
  <c r="V22" i="2"/>
  <c r="V21" i="2"/>
  <c r="W21" i="2" l="1"/>
  <c r="W8" i="2"/>
  <c r="W20" i="2"/>
  <c r="W6" i="2"/>
  <c r="W14" i="2"/>
  <c r="W10" i="2"/>
  <c r="W13" i="2"/>
  <c r="W24" i="2"/>
  <c r="W4" i="2"/>
  <c r="W9" i="2"/>
  <c r="W22" i="2"/>
  <c r="X5" i="2"/>
  <c r="W23" i="2"/>
  <c r="W12" i="2"/>
  <c r="W7" i="2"/>
  <c r="W11" i="2"/>
  <c r="X23" i="2" l="1"/>
  <c r="X10" i="2"/>
  <c r="X22" i="2"/>
  <c r="X9" i="2"/>
  <c r="X24" i="2"/>
  <c r="X21" i="2"/>
  <c r="X4" i="2"/>
  <c r="X7" i="2"/>
  <c r="X6" i="2"/>
  <c r="X20" i="2"/>
  <c r="X8" i="2"/>
  <c r="X11" i="2"/>
  <c r="X14" i="2"/>
  <c r="X13" i="2"/>
  <c r="X12" i="2"/>
  <c r="Y5" i="2"/>
  <c r="Y21" i="2" l="1"/>
  <c r="Z5" i="2"/>
  <c r="Y20" i="2"/>
  <c r="Y6" i="2"/>
  <c r="Y14" i="2"/>
  <c r="Y4" i="2"/>
  <c r="Y12" i="2"/>
  <c r="Y8" i="2"/>
  <c r="Y11" i="2"/>
  <c r="Y23" i="2"/>
  <c r="Y10" i="2"/>
  <c r="Y22" i="2"/>
  <c r="Y7" i="2"/>
  <c r="Y13" i="2"/>
  <c r="Y24" i="2"/>
  <c r="Y9" i="2"/>
  <c r="Z13" i="2" l="1"/>
  <c r="Z9" i="2"/>
  <c r="Z12" i="2"/>
  <c r="AA5" i="2"/>
  <c r="Z11" i="2"/>
  <c r="Z4" i="2"/>
  <c r="Z23" i="2"/>
  <c r="Z14" i="2"/>
  <c r="Z8" i="2"/>
  <c r="Z7" i="2"/>
  <c r="Z22" i="2"/>
  <c r="Z10" i="2"/>
  <c r="Z20" i="2"/>
  <c r="Z21" i="2"/>
  <c r="Z24" i="2"/>
  <c r="Z6" i="2"/>
  <c r="AA20" i="2" l="1"/>
  <c r="AA14" i="2"/>
  <c r="AA24" i="2"/>
  <c r="AA9" i="2"/>
  <c r="AA13" i="2"/>
  <c r="AA8" i="2"/>
  <c r="AA22" i="2"/>
  <c r="AA12" i="2"/>
  <c r="AA6" i="2"/>
  <c r="AA11" i="2"/>
  <c r="AA10" i="2"/>
  <c r="AA23" i="2"/>
  <c r="AA4" i="2"/>
  <c r="AB5" i="2"/>
  <c r="AA21" i="2"/>
  <c r="AA7" i="2"/>
  <c r="AB23" i="2" l="1"/>
  <c r="AB14" i="2"/>
  <c r="AB11" i="2"/>
  <c r="AB22" i="2"/>
  <c r="AB12" i="2"/>
  <c r="AB7" i="2"/>
  <c r="AB9" i="2"/>
  <c r="AB10" i="2"/>
  <c r="AC5" i="2"/>
  <c r="AB20" i="2"/>
  <c r="AB13" i="2"/>
  <c r="AB8" i="2"/>
  <c r="AB4" i="2"/>
  <c r="AB6" i="2"/>
  <c r="AB24" i="2"/>
  <c r="AB21" i="2"/>
  <c r="AC24" i="2" l="1"/>
  <c r="AC4" i="2"/>
  <c r="AD5" i="2"/>
  <c r="AC9" i="2"/>
  <c r="AC7" i="2"/>
  <c r="AC22" i="2"/>
  <c r="AC12" i="2"/>
  <c r="AC6" i="2"/>
  <c r="AC20" i="2"/>
  <c r="AC10" i="2"/>
  <c r="AC21" i="2"/>
  <c r="AC13" i="2"/>
  <c r="AC8" i="2"/>
  <c r="AC11" i="2"/>
  <c r="AC23" i="2"/>
  <c r="AC14" i="2"/>
  <c r="AD22" i="2" l="1"/>
  <c r="AD14" i="2"/>
  <c r="AD24" i="2"/>
  <c r="AD21" i="2"/>
  <c r="AD11" i="2"/>
  <c r="AD20" i="2"/>
  <c r="AD9" i="2"/>
  <c r="AE5" i="2"/>
  <c r="AD4" i="2"/>
  <c r="AD23" i="2"/>
  <c r="AD8" i="2"/>
  <c r="AD13" i="2"/>
  <c r="AD7" i="2"/>
  <c r="AD12" i="2"/>
  <c r="AD10" i="2"/>
  <c r="AD6" i="2"/>
  <c r="AE21" i="2" l="1"/>
  <c r="AE10" i="2"/>
  <c r="AE20" i="2"/>
  <c r="AE13" i="2"/>
  <c r="AE9" i="2"/>
  <c r="AE12" i="2"/>
  <c r="AE8" i="2"/>
  <c r="AE23" i="2"/>
  <c r="AE22" i="2"/>
  <c r="AE14" i="2"/>
  <c r="AE7" i="2"/>
  <c r="AF5" i="2"/>
  <c r="AE4" i="2"/>
  <c r="AE24" i="2"/>
  <c r="AE11" i="2"/>
  <c r="AE6" i="2"/>
  <c r="AF12" i="2" l="1"/>
  <c r="AF11" i="2"/>
  <c r="AF24" i="2"/>
  <c r="AF20" i="2"/>
  <c r="AF8" i="2"/>
  <c r="AF4" i="2"/>
  <c r="AF6" i="2"/>
  <c r="AF23" i="2"/>
  <c r="AF10" i="2"/>
  <c r="AG5" i="2"/>
  <c r="AF9" i="2"/>
  <c r="AF14" i="2"/>
  <c r="AF22" i="2"/>
  <c r="AF7" i="2"/>
  <c r="AF21" i="2"/>
  <c r="AF13" i="2"/>
  <c r="AG14" i="2" l="1"/>
  <c r="AG24" i="2"/>
  <c r="AG13" i="2"/>
  <c r="AG12" i="2"/>
  <c r="AG7" i="2"/>
  <c r="AG23" i="2"/>
  <c r="AG6" i="2"/>
  <c r="AG22" i="2"/>
  <c r="AG9" i="2"/>
  <c r="AG21" i="2"/>
  <c r="AH5" i="2"/>
  <c r="AG11" i="2"/>
  <c r="AG8" i="2"/>
  <c r="AG10" i="2"/>
  <c r="AG20" i="2"/>
  <c r="AG4" i="2"/>
  <c r="AH11" i="2" l="1"/>
  <c r="AH10" i="2"/>
  <c r="AH22" i="2"/>
  <c r="AH4" i="2"/>
  <c r="AH23" i="2"/>
  <c r="AH21" i="2"/>
  <c r="AH9" i="2"/>
  <c r="AH20" i="2"/>
  <c r="AI5" i="2"/>
  <c r="AH8" i="2"/>
  <c r="AH12" i="2"/>
  <c r="AH24" i="2"/>
  <c r="AH14" i="2"/>
  <c r="AH6" i="2"/>
  <c r="AH13" i="2"/>
  <c r="AH7" i="2"/>
  <c r="AI20" i="2" l="1"/>
  <c r="AI7" i="2"/>
  <c r="AI14" i="2"/>
  <c r="AI6" i="2"/>
  <c r="AI13" i="2"/>
  <c r="AI10" i="2"/>
  <c r="AI12" i="2"/>
  <c r="AI24" i="2"/>
  <c r="AI21" i="2"/>
  <c r="AI9" i="2"/>
  <c r="AI4" i="2"/>
  <c r="AI23" i="2"/>
  <c r="AJ5" i="2"/>
  <c r="AI8" i="2"/>
  <c r="AI22" i="2"/>
  <c r="AI11" i="2"/>
  <c r="AJ10" i="2" l="1"/>
  <c r="AJ9" i="2"/>
  <c r="AJ6" i="2"/>
  <c r="AJ4" i="2"/>
  <c r="AJ24" i="2"/>
  <c r="AJ8" i="2"/>
  <c r="AJ7" i="2"/>
  <c r="AJ13" i="2"/>
  <c r="AJ21" i="2"/>
  <c r="AJ23" i="2"/>
  <c r="AJ12" i="2"/>
  <c r="AJ22" i="2"/>
  <c r="AJ14" i="2"/>
  <c r="AJ20" i="2"/>
  <c r="AJ11" i="2"/>
  <c r="AK5" i="2"/>
  <c r="AK21" i="2" l="1"/>
  <c r="AK7" i="2"/>
  <c r="AK6" i="2"/>
  <c r="AK13" i="2"/>
  <c r="AK23" i="2"/>
  <c r="AK4" i="2"/>
  <c r="AK12" i="2"/>
  <c r="AK22" i="2"/>
  <c r="AK14" i="2"/>
  <c r="AL5" i="2"/>
  <c r="AK24" i="2"/>
  <c r="AK20" i="2"/>
  <c r="AK8" i="2"/>
  <c r="AK10" i="2"/>
  <c r="AK11" i="2"/>
  <c r="AK9" i="2"/>
  <c r="AL24" i="2" l="1"/>
  <c r="AL22" i="2"/>
  <c r="AL13" i="2"/>
  <c r="AL12" i="2"/>
  <c r="AM5" i="2"/>
  <c r="AL7" i="2"/>
  <c r="AL23" i="2"/>
  <c r="AL21" i="2"/>
  <c r="AL14" i="2"/>
  <c r="AL11" i="2"/>
  <c r="AL4" i="2"/>
  <c r="AL10" i="2"/>
  <c r="AL8" i="2"/>
  <c r="AL9" i="2"/>
  <c r="AL20" i="2"/>
  <c r="AL6" i="2"/>
  <c r="AM21" i="2" l="1"/>
  <c r="AM6" i="2"/>
  <c r="AM20" i="2"/>
  <c r="AM22" i="2"/>
  <c r="AM14" i="2"/>
  <c r="AM7" i="2"/>
  <c r="AN5" i="2"/>
  <c r="AM8" i="2"/>
  <c r="AM13" i="2"/>
  <c r="AM12" i="2"/>
  <c r="AM10" i="2"/>
  <c r="AM24" i="2"/>
  <c r="AM4" i="2"/>
  <c r="AM11" i="2"/>
  <c r="AM23" i="2"/>
  <c r="AM9" i="2"/>
  <c r="AN24" i="2" l="1"/>
  <c r="AN13" i="2"/>
  <c r="AN6" i="2"/>
  <c r="AN11" i="2"/>
  <c r="AN10" i="2"/>
  <c r="AN12" i="2"/>
  <c r="AN23" i="2"/>
  <c r="AN7" i="2"/>
  <c r="AN22" i="2"/>
  <c r="AN9" i="2"/>
  <c r="AN4" i="2"/>
  <c r="AN21" i="2"/>
  <c r="AO5" i="2"/>
  <c r="AN20" i="2"/>
  <c r="AN8" i="2"/>
  <c r="AN14" i="2"/>
  <c r="AO12" i="2" l="1"/>
  <c r="AO9" i="2"/>
  <c r="AO11" i="2"/>
  <c r="AO8" i="2"/>
  <c r="AO10" i="2"/>
  <c r="AO24" i="2"/>
  <c r="AP5" i="2"/>
  <c r="AO22" i="2"/>
  <c r="AO21" i="2"/>
  <c r="AO7" i="2"/>
  <c r="AO14" i="2"/>
  <c r="AO23" i="2"/>
  <c r="AO13" i="2"/>
  <c r="AO6" i="2"/>
  <c r="AO20" i="2"/>
  <c r="AO4" i="2"/>
  <c r="AP11" i="2" l="1"/>
  <c r="AP10" i="2"/>
  <c r="AP6" i="2"/>
  <c r="AP22" i="2"/>
  <c r="AP24" i="2"/>
  <c r="AP4" i="2"/>
  <c r="AP13" i="2"/>
  <c r="AP21" i="2"/>
  <c r="AP8" i="2"/>
  <c r="AP20" i="2"/>
  <c r="AP23" i="2"/>
  <c r="AP12" i="2"/>
  <c r="AP7" i="2"/>
  <c r="AP14" i="2"/>
  <c r="AP9" i="2"/>
</calcChain>
</file>

<file path=xl/sharedStrings.xml><?xml version="1.0" encoding="utf-8"?>
<sst xmlns="http://schemas.openxmlformats.org/spreadsheetml/2006/main" count="68" uniqueCount="49">
  <si>
    <t>本日</t>
    <rPh sb="0" eb="2">
      <t>ホンジツ</t>
    </rPh>
    <phoneticPr fontId="4"/>
  </si>
  <si>
    <t>◆</t>
    <phoneticPr fontId="4"/>
  </si>
  <si>
    <t>期日</t>
    <rPh sb="0" eb="2">
      <t>キジツ</t>
    </rPh>
    <phoneticPr fontId="4"/>
  </si>
  <si>
    <t>予定</t>
    <rPh sb="0" eb="2">
      <t>ヨテイ</t>
    </rPh>
    <phoneticPr fontId="4"/>
  </si>
  <si>
    <t>＞</t>
    <phoneticPr fontId="4"/>
  </si>
  <si>
    <t>実施中</t>
    <rPh sb="0" eb="3">
      <t>ジッシチュウ</t>
    </rPh>
    <phoneticPr fontId="4"/>
  </si>
  <si>
    <t>≫</t>
  </si>
  <si>
    <t>実施中(期日超過)</t>
    <rPh sb="0" eb="3">
      <t>ジッシチュウ</t>
    </rPh>
    <rPh sb="4" eb="6">
      <t>キジツ</t>
    </rPh>
    <rPh sb="6" eb="8">
      <t>チョウカ</t>
    </rPh>
    <phoneticPr fontId="4"/>
  </si>
  <si>
    <t>表示日</t>
    <rPh sb="0" eb="2">
      <t>ヒョウジ</t>
    </rPh>
    <rPh sb="2" eb="3">
      <t>ビ</t>
    </rPh>
    <phoneticPr fontId="4"/>
  </si>
  <si>
    <t>実績</t>
    <rPh sb="0" eb="2">
      <t>ジッセキ</t>
    </rPh>
    <phoneticPr fontId="4"/>
  </si>
  <si>
    <t>分類</t>
    <rPh sb="0" eb="2">
      <t>ブンルイ</t>
    </rPh>
    <phoneticPr fontId="4"/>
  </si>
  <si>
    <t>タスク名</t>
    <rPh sb="3" eb="4">
      <t>メイ</t>
    </rPh>
    <phoneticPr fontId="4"/>
  </si>
  <si>
    <t>担当者</t>
    <rPh sb="0" eb="3">
      <t>タントウシャ</t>
    </rPh>
    <phoneticPr fontId="4"/>
  </si>
  <si>
    <t>開始日</t>
    <rPh sb="0" eb="3">
      <t>カイシビ</t>
    </rPh>
    <phoneticPr fontId="4"/>
  </si>
  <si>
    <t>終了日</t>
    <rPh sb="0" eb="3">
      <t>シュウリョウビ</t>
    </rPh>
    <phoneticPr fontId="4"/>
  </si>
  <si>
    <t>状況</t>
    <rPh sb="0" eb="2">
      <t>ジョウキョウ</t>
    </rPh>
    <phoneticPr fontId="4"/>
  </si>
  <si>
    <t>進捗率</t>
    <rPh sb="0" eb="2">
      <t>シンチョク</t>
    </rPh>
    <rPh sb="2" eb="3">
      <t>リツ</t>
    </rPh>
    <phoneticPr fontId="4"/>
  </si>
  <si>
    <t>休日日付</t>
    <rPh sb="0" eb="2">
      <t>キュウジツ</t>
    </rPh>
    <rPh sb="2" eb="4">
      <t>ヒヅケ</t>
    </rPh>
    <phoneticPr fontId="4"/>
  </si>
  <si>
    <t>メモ</t>
    <phoneticPr fontId="4"/>
  </si>
  <si>
    <t>Excelスケジュールテンプレート by 微風 on the web ・・・</t>
    <rPh sb="21" eb="23">
      <t>ビフウ</t>
    </rPh>
    <phoneticPr fontId="4"/>
  </si>
  <si>
    <t>Excelスケジュールテンプレートをご利用いただきありがとうございます。</t>
    <rPh sb="19" eb="21">
      <t>リヨウ</t>
    </rPh>
    <phoneticPr fontId="4"/>
  </si>
  <si>
    <t>このテンプレートは、誰でも簡単に迷わず利用できることを目標として作成しました。</t>
    <rPh sb="10" eb="11">
      <t>ダレ</t>
    </rPh>
    <rPh sb="13" eb="15">
      <t>カンタン</t>
    </rPh>
    <rPh sb="16" eb="17">
      <t>マヨ</t>
    </rPh>
    <rPh sb="19" eb="21">
      <t>リヨウ</t>
    </rPh>
    <rPh sb="27" eb="29">
      <t>モクヒョウ</t>
    </rPh>
    <rPh sb="32" eb="34">
      <t>サクセイ</t>
    </rPh>
    <phoneticPr fontId="4"/>
  </si>
  <si>
    <t>私用・商用かかわらず、無料でご利用いただけます。（転載・再配布の際は、下記URLのリンクを記載していただきますようお願いします）</t>
    <rPh sb="0" eb="2">
      <t>シヨウ</t>
    </rPh>
    <rPh sb="3" eb="5">
      <t>ショウヨウ</t>
    </rPh>
    <rPh sb="11" eb="13">
      <t>ムリョウ</t>
    </rPh>
    <rPh sb="15" eb="17">
      <t>リヨウ</t>
    </rPh>
    <rPh sb="35" eb="37">
      <t>カキ</t>
    </rPh>
    <phoneticPr fontId="4"/>
  </si>
  <si>
    <t>このExcelスケジュールテンプレートの詳細については下記URLをご参照ください。</t>
    <rPh sb="20" eb="22">
      <t>ショウサイ</t>
    </rPh>
    <rPh sb="27" eb="29">
      <t>カキ</t>
    </rPh>
    <rPh sb="34" eb="36">
      <t>サンショウ</t>
    </rPh>
    <phoneticPr fontId="4"/>
  </si>
  <si>
    <t>https://web-breeze.net/excel-schedule-template</t>
    <phoneticPr fontId="4"/>
  </si>
  <si>
    <t>和田</t>
    <rPh sb="0" eb="2">
      <t>ワダ</t>
    </rPh>
    <phoneticPr fontId="2"/>
  </si>
  <si>
    <t>要件定義</t>
    <rPh sb="0" eb="2">
      <t>ヨウケン</t>
    </rPh>
    <rPh sb="2" eb="4">
      <t>テイギ</t>
    </rPh>
    <phoneticPr fontId="2"/>
  </si>
  <si>
    <t>企画書作成</t>
    <rPh sb="0" eb="3">
      <t>キカクショ</t>
    </rPh>
    <rPh sb="3" eb="5">
      <t>サクセイ</t>
    </rPh>
    <phoneticPr fontId="2"/>
  </si>
  <si>
    <t>企画</t>
    <rPh sb="0" eb="2">
      <t>キカク</t>
    </rPh>
    <phoneticPr fontId="2"/>
  </si>
  <si>
    <t>伊勢大富豪 ~ver1.0~</t>
    <rPh sb="0" eb="2">
      <t>イセ</t>
    </rPh>
    <rPh sb="2" eb="5">
      <t>ダイフゴウ</t>
    </rPh>
    <phoneticPr fontId="4"/>
  </si>
  <si>
    <t>基本設計</t>
    <rPh sb="0" eb="2">
      <t>キホン</t>
    </rPh>
    <rPh sb="2" eb="4">
      <t>セッケイ</t>
    </rPh>
    <phoneticPr fontId="2"/>
  </si>
  <si>
    <t>テーブル定義書</t>
    <rPh sb="4" eb="6">
      <t>テイギ</t>
    </rPh>
    <rPh sb="6" eb="7">
      <t>ショ</t>
    </rPh>
    <phoneticPr fontId="2"/>
  </si>
  <si>
    <t>ER図</t>
    <rPh sb="2" eb="3">
      <t>ズ</t>
    </rPh>
    <phoneticPr fontId="2"/>
  </si>
  <si>
    <t>画面レイアウト</t>
    <rPh sb="0" eb="2">
      <t>ガメン</t>
    </rPh>
    <phoneticPr fontId="2"/>
  </si>
  <si>
    <t>機能設計書</t>
    <phoneticPr fontId="2"/>
  </si>
  <si>
    <t>環境構築</t>
    <rPh sb="0" eb="2">
      <t>カンキョウ</t>
    </rPh>
    <rPh sb="2" eb="4">
      <t>コウチク</t>
    </rPh>
    <phoneticPr fontId="2"/>
  </si>
  <si>
    <t>実装</t>
    <rPh sb="0" eb="2">
      <t>ジッソウ</t>
    </rPh>
    <phoneticPr fontId="2"/>
  </si>
  <si>
    <t>テスト仕様書作成</t>
    <rPh sb="3" eb="8">
      <t>シヨウショサクセイ</t>
    </rPh>
    <phoneticPr fontId="2"/>
  </si>
  <si>
    <t>テスト実施</t>
    <rPh sb="3" eb="5">
      <t>ジッシ</t>
    </rPh>
    <phoneticPr fontId="2"/>
  </si>
  <si>
    <t>-</t>
    <phoneticPr fontId="2"/>
  </si>
  <si>
    <t>詳細設計</t>
    <phoneticPr fontId="2"/>
  </si>
  <si>
    <t>開発</t>
    <phoneticPr fontId="2"/>
  </si>
  <si>
    <t>単体テスト</t>
    <phoneticPr fontId="2"/>
  </si>
  <si>
    <t>結合テスト</t>
    <phoneticPr fontId="2"/>
  </si>
  <si>
    <t xml:space="preserve"> ログイン</t>
    <phoneticPr fontId="2"/>
  </si>
  <si>
    <t xml:space="preserve"> ロビー</t>
    <phoneticPr fontId="2"/>
  </si>
  <si>
    <t xml:space="preserve"> 成績</t>
    <rPh sb="1" eb="3">
      <t>セイセキ</t>
    </rPh>
    <phoneticPr fontId="2"/>
  </si>
  <si>
    <t xml:space="preserve"> マッチング</t>
    <phoneticPr fontId="2"/>
  </si>
  <si>
    <t xml:space="preserve"> 対戦</t>
    <rPh sb="1" eb="3">
      <t>タイセン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</si>
</sst>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m/d;@"/>
    <numFmt numFmtId="177" formatCode="m"/>
    <numFmt numFmtId="178" formatCode="d"/>
    <numFmt numFmtId="179" formatCode="aaa"/>
  </numFmts>
  <fonts count="1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sz val="11"/>
      <color theme="8" tint="-0.249977111117893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theme="8" tint="-0.249977111117893"/>
      <name val="游ゴシック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BD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10" fillId="0" borderId="0" applyNumberFormat="0" applyFill="0" applyBorder="0" applyAlignment="0" applyProtection="0"/>
  </cellStyleXfs>
  <cellXfs count="60">
    <xf numFmtId="0" fontId="0" fillId="0" borderId="0" xfId="0">
      <alignment vertical="center"/>
    </xf>
    <xf numFmtId="0" fontId="1" fillId="0" borderId="0" xfId="1" applyAlignment="1">
      <alignment vertical="center"/>
    </xf>
    <xf numFmtId="0" fontId="1" fillId="0" borderId="0" xfId="1" applyAlignment="1">
      <alignment horizontal="center" vertical="center"/>
    </xf>
    <xf numFmtId="0" fontId="1" fillId="3" borderId="4" xfId="1" applyFill="1" applyBorder="1" applyAlignment="1">
      <alignment horizontal="center" vertical="center"/>
    </xf>
    <xf numFmtId="176" fontId="1" fillId="0" borderId="4" xfId="1" applyNumberForma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1" fillId="4" borderId="4" xfId="1" applyFill="1" applyBorder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177" fontId="1" fillId="3" borderId="8" xfId="1" applyNumberFormat="1" applyFill="1" applyBorder="1" applyAlignment="1">
      <alignment horizontal="center" vertical="center"/>
    </xf>
    <xf numFmtId="177" fontId="1" fillId="3" borderId="9" xfId="1" applyNumberFormat="1" applyFill="1" applyBorder="1" applyAlignment="1">
      <alignment horizontal="left" vertical="center"/>
    </xf>
    <xf numFmtId="177" fontId="1" fillId="3" borderId="9" xfId="1" applyNumberFormat="1" applyFill="1" applyBorder="1" applyAlignment="1">
      <alignment horizontal="center" vertical="center"/>
    </xf>
    <xf numFmtId="177" fontId="1" fillId="3" borderId="10" xfId="1" applyNumberFormat="1" applyFill="1" applyBorder="1" applyAlignment="1">
      <alignment horizontal="center" vertical="center"/>
    </xf>
    <xf numFmtId="0" fontId="1" fillId="3" borderId="11" xfId="1" applyFill="1" applyBorder="1" applyAlignment="1">
      <alignment horizontal="center" vertical="center"/>
    </xf>
    <xf numFmtId="0" fontId="1" fillId="3" borderId="12" xfId="1" applyFill="1" applyBorder="1" applyAlignment="1">
      <alignment horizontal="center" vertical="center"/>
    </xf>
    <xf numFmtId="178" fontId="1" fillId="0" borderId="13" xfId="1" applyNumberFormat="1" applyBorder="1" applyAlignment="1">
      <alignment horizontal="center" vertical="center"/>
    </xf>
    <xf numFmtId="178" fontId="1" fillId="0" borderId="14" xfId="1" applyNumberFormat="1" applyBorder="1" applyAlignment="1">
      <alignment horizontal="center" vertical="center"/>
    </xf>
    <xf numFmtId="178" fontId="1" fillId="0" borderId="15" xfId="1" applyNumberFormat="1" applyBorder="1" applyAlignment="1">
      <alignment horizontal="center" vertical="center"/>
    </xf>
    <xf numFmtId="0" fontId="1" fillId="3" borderId="16" xfId="1" applyFill="1" applyBorder="1" applyAlignment="1">
      <alignment horizontal="center" vertical="center"/>
    </xf>
    <xf numFmtId="0" fontId="1" fillId="3" borderId="17" xfId="1" applyFill="1" applyBorder="1" applyAlignment="1">
      <alignment horizontal="center" vertical="center"/>
    </xf>
    <xf numFmtId="0" fontId="1" fillId="3" borderId="18" xfId="1" applyFill="1" applyBorder="1" applyAlignment="1">
      <alignment horizontal="center" vertical="center"/>
    </xf>
    <xf numFmtId="0" fontId="1" fillId="3" borderId="19" xfId="1" applyFill="1" applyBorder="1" applyAlignment="1">
      <alignment horizontal="center" vertical="center"/>
    </xf>
    <xf numFmtId="179" fontId="1" fillId="0" borderId="20" xfId="1" applyNumberFormat="1" applyBorder="1" applyAlignment="1">
      <alignment horizontal="center" vertical="center"/>
    </xf>
    <xf numFmtId="179" fontId="1" fillId="0" borderId="21" xfId="1" applyNumberFormat="1" applyBorder="1" applyAlignment="1">
      <alignment horizontal="center" vertical="center"/>
    </xf>
    <xf numFmtId="179" fontId="1" fillId="0" borderId="22" xfId="1" applyNumberFormat="1" applyBorder="1" applyAlignment="1">
      <alignment horizontal="center" vertical="center"/>
    </xf>
    <xf numFmtId="0" fontId="1" fillId="0" borderId="4" xfId="1" applyBorder="1" applyAlignment="1">
      <alignment horizontal="center" vertical="center"/>
    </xf>
    <xf numFmtId="0" fontId="1" fillId="0" borderId="4" xfId="1" applyBorder="1" applyAlignment="1">
      <alignment vertical="center"/>
    </xf>
    <xf numFmtId="176" fontId="1" fillId="0" borderId="17" xfId="1" applyNumberFormat="1" applyBorder="1" applyAlignment="1">
      <alignment horizontal="center" vertical="center"/>
    </xf>
    <xf numFmtId="176" fontId="1" fillId="0" borderId="18" xfId="1" applyNumberFormat="1" applyBorder="1" applyAlignment="1">
      <alignment horizontal="center" vertical="center"/>
    </xf>
    <xf numFmtId="9" fontId="1" fillId="0" borderId="4" xfId="1" applyNumberFormat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7" fillId="0" borderId="23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1" fillId="3" borderId="0" xfId="1" applyFill="1" applyAlignment="1">
      <alignment horizontal="left"/>
    </xf>
    <xf numFmtId="0" fontId="1" fillId="3" borderId="0" xfId="1" applyFill="1"/>
    <xf numFmtId="0" fontId="1" fillId="0" borderId="0" xfId="1"/>
    <xf numFmtId="14" fontId="1" fillId="0" borderId="0" xfId="1" applyNumberFormat="1" applyAlignment="1">
      <alignment horizontal="left"/>
    </xf>
    <xf numFmtId="0" fontId="1" fillId="0" borderId="0" xfId="1" applyAlignment="1">
      <alignment horizontal="left"/>
    </xf>
    <xf numFmtId="0" fontId="9" fillId="0" borderId="0" xfId="1" applyFont="1"/>
    <xf numFmtId="0" fontId="10" fillId="0" borderId="0" xfId="2"/>
    <xf numFmtId="0" fontId="1" fillId="5" borderId="4" xfId="1" applyFill="1" applyBorder="1" applyAlignment="1">
      <alignment horizontal="center" vertical="center"/>
    </xf>
    <xf numFmtId="0" fontId="1" fillId="5" borderId="4" xfId="1" applyFill="1" applyBorder="1" applyAlignment="1">
      <alignment vertical="center"/>
    </xf>
    <xf numFmtId="176" fontId="1" fillId="5" borderId="4" xfId="1" applyNumberFormat="1" applyFill="1" applyBorder="1" applyAlignment="1">
      <alignment horizontal="center" vertical="center"/>
    </xf>
    <xf numFmtId="176" fontId="1" fillId="5" borderId="17" xfId="1" applyNumberFormat="1" applyFill="1" applyBorder="1" applyAlignment="1">
      <alignment horizontal="center" vertical="center"/>
    </xf>
    <xf numFmtId="176" fontId="1" fillId="5" borderId="18" xfId="1" applyNumberFormat="1" applyFill="1" applyBorder="1" applyAlignment="1">
      <alignment horizontal="center" vertical="center"/>
    </xf>
    <xf numFmtId="9" fontId="1" fillId="5" borderId="4" xfId="1" applyNumberFormat="1" applyFill="1" applyBorder="1" applyAlignment="1">
      <alignment horizontal="center" vertical="center"/>
    </xf>
    <xf numFmtId="0" fontId="7" fillId="5" borderId="17" xfId="1" applyFont="1" applyFill="1" applyBorder="1" applyAlignment="1">
      <alignment horizontal="center" vertical="center"/>
    </xf>
    <xf numFmtId="0" fontId="7" fillId="5" borderId="23" xfId="1" applyFont="1" applyFill="1" applyBorder="1" applyAlignment="1">
      <alignment horizontal="center" vertical="center"/>
    </xf>
    <xf numFmtId="0" fontId="7" fillId="5" borderId="18" xfId="1" applyFont="1" applyFill="1" applyBorder="1" applyAlignment="1">
      <alignment horizontal="center" vertical="center"/>
    </xf>
    <xf numFmtId="0" fontId="1" fillId="5" borderId="0" xfId="1" applyFill="1" applyAlignment="1">
      <alignment vertical="center"/>
    </xf>
    <xf numFmtId="176" fontId="1" fillId="0" borderId="24" xfId="1" applyNumberFormat="1" applyBorder="1" applyAlignment="1">
      <alignment horizontal="center" vertical="center"/>
    </xf>
    <xf numFmtId="0" fontId="1" fillId="6" borderId="4" xfId="1" applyFill="1" applyBorder="1" applyAlignment="1">
      <alignment vertical="center"/>
    </xf>
    <xf numFmtId="176" fontId="1" fillId="0" borderId="10" xfId="1" applyNumberFormat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3" fillId="2" borderId="6" xfId="1" applyFont="1" applyFill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/>
    </xf>
    <xf numFmtId="0" fontId="1" fillId="3" borderId="4" xfId="1" applyFill="1" applyBorder="1" applyAlignment="1">
      <alignment horizontal="center" vertical="center"/>
    </xf>
  </cellXfs>
  <cellStyles count="3">
    <cellStyle name="ハイパーリンク 2" xfId="2"/>
    <cellStyle name="標準" xfId="0" builtinId="0"/>
    <cellStyle name="標準 2" xfId="1"/>
  </cellStyles>
  <dxfs count="25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</dxf>
    <dxf>
      <fill>
        <patternFill>
          <bgColor rgb="FFFFBDFF"/>
        </patternFill>
      </fill>
    </dxf>
    <dxf>
      <font>
        <color rgb="FFFF0000"/>
      </font>
    </dxf>
    <dxf>
      <fill>
        <patternFill>
          <bgColor rgb="FFFFBDFF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border>
        <left style="thin">
          <color auto="1"/>
        </left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rgb="FFFFA3A3"/>
        </patternFill>
      </fill>
    </dxf>
    <dxf>
      <fill>
        <patternFill>
          <bgColor rgb="FFFF9999"/>
        </patternFill>
      </fill>
    </dxf>
    <dxf>
      <font>
        <color rgb="FFFF0000"/>
      </font>
    </dxf>
    <dxf>
      <fill>
        <patternFill>
          <bgColor rgb="FFFFBDFF"/>
        </patternFill>
      </fill>
    </dxf>
  </dxfs>
  <tableStyles count="0" defaultTableStyle="TableStyleMedium2" defaultPivotStyle="PivotStyleLight16"/>
  <colors>
    <mruColors>
      <color rgb="FF7E97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10</xdr:row>
      <xdr:rowOff>0</xdr:rowOff>
    </xdr:from>
    <xdr:to>
      <xdr:col>9</xdr:col>
      <xdr:colOff>20316</xdr:colOff>
      <xdr:row>12</xdr:row>
      <xdr:rowOff>0</xdr:rowOff>
    </xdr:to>
    <xdr:pic>
      <xdr:nvPicPr>
        <xdr:cNvPr id="2" name="図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0" y="2286000"/>
          <a:ext cx="2031996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447675</xdr:colOff>
          <xdr:row>1</xdr:row>
          <xdr:rowOff>104775</xdr:rowOff>
        </xdr:from>
        <xdr:to>
          <xdr:col>8</xdr:col>
          <xdr:colOff>142875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323850</xdr:colOff>
          <xdr:row>1</xdr:row>
          <xdr:rowOff>104775</xdr:rowOff>
        </xdr:from>
        <xdr:to>
          <xdr:col>9</xdr:col>
          <xdr:colOff>19050</xdr:colOff>
          <xdr:row>2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1</xdr:row>
          <xdr:rowOff>104775</xdr:rowOff>
        </xdr:from>
        <xdr:to>
          <xdr:col>9</xdr:col>
          <xdr:colOff>457200</xdr:colOff>
          <xdr:row>2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638175</xdr:colOff>
          <xdr:row>1</xdr:row>
          <xdr:rowOff>104775</xdr:rowOff>
        </xdr:from>
        <xdr:to>
          <xdr:col>9</xdr:col>
          <xdr:colOff>885825</xdr:colOff>
          <xdr:row>2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1066800</xdr:colOff>
          <xdr:row>1</xdr:row>
          <xdr:rowOff>104775</xdr:rowOff>
        </xdr:from>
        <xdr:to>
          <xdr:col>10</xdr:col>
          <xdr:colOff>28575</xdr:colOff>
          <xdr:row>2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eb-breeze.net/excel-schedule-template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9"/>
  <sheetViews>
    <sheetView showGridLines="0" workbookViewId="0">
      <selection activeCell="B9" sqref="B9"/>
    </sheetView>
  </sheetViews>
  <sheetFormatPr defaultColWidth="8.75" defaultRowHeight="18.75"/>
  <cols>
    <col min="1" max="1" width="2" style="35" customWidth="1"/>
    <col min="2" max="16384" width="8.75" style="35"/>
  </cols>
  <sheetData>
    <row r="2" spans="2:2">
      <c r="B2" s="38" t="s">
        <v>19</v>
      </c>
    </row>
    <row r="4" spans="2:2">
      <c r="B4" s="35" t="s">
        <v>20</v>
      </c>
    </row>
    <row r="5" spans="2:2">
      <c r="B5" s="35" t="s">
        <v>21</v>
      </c>
    </row>
    <row r="6" spans="2:2">
      <c r="B6" s="35" t="s">
        <v>22</v>
      </c>
    </row>
    <row r="8" spans="2:2">
      <c r="B8" s="35" t="s">
        <v>23</v>
      </c>
    </row>
    <row r="9" spans="2:2">
      <c r="B9" s="39" t="s">
        <v>24</v>
      </c>
    </row>
  </sheetData>
  <phoneticPr fontId="2"/>
  <hyperlinks>
    <hyperlink ref="B9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AP24"/>
  <sheetViews>
    <sheetView showGridLines="0" tabSelected="1" zoomScaleNormal="100" workbookViewId="0">
      <pane ySplit="6" topLeftCell="A7" activePane="bottomLeft" state="frozen"/>
      <selection pane="bottomLeft"/>
    </sheetView>
  </sheetViews>
  <sheetFormatPr defaultColWidth="8.75" defaultRowHeight="18.75"/>
  <cols>
    <col min="1" max="1" width="3.125" style="1" customWidth="1"/>
    <col min="2" max="2" width="20.5" style="1" customWidth="1"/>
    <col min="3" max="3" width="23.5" style="1" customWidth="1"/>
    <col min="4" max="4" width="12.25" style="1" customWidth="1"/>
    <col min="5" max="5" width="8.75" style="1"/>
    <col min="6" max="9" width="7.25" style="1" bestFit="1" customWidth="1"/>
    <col min="10" max="10" width="16.75" style="1" bestFit="1" customWidth="1"/>
    <col min="11" max="11" width="8.75" style="1"/>
    <col min="12" max="42" width="3.5" style="2" customWidth="1"/>
    <col min="43" max="43" width="3.125" style="1" customWidth="1"/>
    <col min="44" max="16384" width="8.75" style="1"/>
  </cols>
  <sheetData>
    <row r="1" spans="2:42" ht="19.5" thickBot="1"/>
    <row r="2" spans="2:42">
      <c r="B2" s="53" t="s">
        <v>29</v>
      </c>
      <c r="C2" s="54"/>
      <c r="D2" s="55"/>
      <c r="F2" s="3" t="s">
        <v>0</v>
      </c>
      <c r="G2" s="4">
        <f ca="1">TODAY()</f>
        <v>44892</v>
      </c>
      <c r="L2" s="5" t="s">
        <v>1</v>
      </c>
      <c r="M2" s="6" t="s">
        <v>2</v>
      </c>
      <c r="N2" s="6"/>
      <c r="P2" s="7"/>
      <c r="Q2" s="6" t="s">
        <v>3</v>
      </c>
      <c r="R2" s="6"/>
      <c r="T2" s="5" t="s">
        <v>4</v>
      </c>
      <c r="U2" s="6" t="s">
        <v>5</v>
      </c>
      <c r="V2" s="6"/>
      <c r="W2" s="6"/>
      <c r="X2" s="8" t="s">
        <v>6</v>
      </c>
      <c r="Y2" s="6" t="s">
        <v>7</v>
      </c>
      <c r="Z2" s="6"/>
      <c r="AA2" s="6"/>
      <c r="AB2" s="6"/>
      <c r="AC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</row>
    <row r="3" spans="2:42" ht="19.5" thickBot="1">
      <c r="B3" s="56"/>
      <c r="C3" s="57"/>
      <c r="D3" s="58"/>
      <c r="F3" s="3" t="s">
        <v>8</v>
      </c>
      <c r="G3" s="4">
        <v>44877</v>
      </c>
    </row>
    <row r="4" spans="2:42">
      <c r="L4" s="9">
        <f>L5</f>
        <v>44877</v>
      </c>
      <c r="M4" s="10" t="str">
        <f>IF(DAY(M5)=1,M5,"")</f>
        <v/>
      </c>
      <c r="N4" s="11" t="str">
        <f t="shared" ref="N4:AP4" si="0">IF(DAY(N5)=1,N5,"")</f>
        <v/>
      </c>
      <c r="O4" s="11" t="str">
        <f t="shared" si="0"/>
        <v/>
      </c>
      <c r="P4" s="11" t="str">
        <f t="shared" si="0"/>
        <v/>
      </c>
      <c r="Q4" s="11" t="str">
        <f t="shared" si="0"/>
        <v/>
      </c>
      <c r="R4" s="11" t="str">
        <f t="shared" si="0"/>
        <v/>
      </c>
      <c r="S4" s="11" t="str">
        <f t="shared" si="0"/>
        <v/>
      </c>
      <c r="T4" s="11" t="str">
        <f t="shared" si="0"/>
        <v/>
      </c>
      <c r="U4" s="11" t="str">
        <f t="shared" si="0"/>
        <v/>
      </c>
      <c r="V4" s="11" t="str">
        <f t="shared" si="0"/>
        <v/>
      </c>
      <c r="W4" s="11" t="str">
        <f t="shared" si="0"/>
        <v/>
      </c>
      <c r="X4" s="11" t="str">
        <f t="shared" si="0"/>
        <v/>
      </c>
      <c r="Y4" s="11" t="str">
        <f t="shared" si="0"/>
        <v/>
      </c>
      <c r="Z4" s="11" t="str">
        <f t="shared" si="0"/>
        <v/>
      </c>
      <c r="AA4" s="11" t="str">
        <f t="shared" si="0"/>
        <v/>
      </c>
      <c r="AB4" s="11" t="str">
        <f t="shared" si="0"/>
        <v/>
      </c>
      <c r="AC4" s="11" t="str">
        <f t="shared" si="0"/>
        <v/>
      </c>
      <c r="AD4" s="11" t="str">
        <f t="shared" si="0"/>
        <v/>
      </c>
      <c r="AE4" s="11">
        <f t="shared" si="0"/>
        <v>44896</v>
      </c>
      <c r="AF4" s="11" t="str">
        <f t="shared" si="0"/>
        <v/>
      </c>
      <c r="AG4" s="11" t="str">
        <f t="shared" si="0"/>
        <v/>
      </c>
      <c r="AH4" s="11" t="str">
        <f t="shared" si="0"/>
        <v/>
      </c>
      <c r="AI4" s="11" t="str">
        <f t="shared" si="0"/>
        <v/>
      </c>
      <c r="AJ4" s="11" t="str">
        <f t="shared" si="0"/>
        <v/>
      </c>
      <c r="AK4" s="11" t="str">
        <f t="shared" si="0"/>
        <v/>
      </c>
      <c r="AL4" s="11" t="str">
        <f t="shared" si="0"/>
        <v/>
      </c>
      <c r="AM4" s="11" t="str">
        <f t="shared" si="0"/>
        <v/>
      </c>
      <c r="AN4" s="11" t="str">
        <f t="shared" si="0"/>
        <v/>
      </c>
      <c r="AO4" s="11" t="str">
        <f t="shared" si="0"/>
        <v/>
      </c>
      <c r="AP4" s="12" t="str">
        <f t="shared" si="0"/>
        <v/>
      </c>
    </row>
    <row r="5" spans="2:42">
      <c r="B5" s="13"/>
      <c r="C5" s="13"/>
      <c r="D5" s="13"/>
      <c r="E5" s="13"/>
      <c r="F5" s="59" t="s">
        <v>3</v>
      </c>
      <c r="G5" s="59"/>
      <c r="H5" s="59" t="s">
        <v>9</v>
      </c>
      <c r="I5" s="59"/>
      <c r="J5" s="13"/>
      <c r="K5" s="14"/>
      <c r="L5" s="15">
        <f>G3</f>
        <v>44877</v>
      </c>
      <c r="M5" s="16">
        <f>L5+1</f>
        <v>44878</v>
      </c>
      <c r="N5" s="16">
        <f t="shared" ref="N5:AP5" si="1">M5+1</f>
        <v>44879</v>
      </c>
      <c r="O5" s="16">
        <f t="shared" si="1"/>
        <v>44880</v>
      </c>
      <c r="P5" s="16">
        <f t="shared" si="1"/>
        <v>44881</v>
      </c>
      <c r="Q5" s="16">
        <f t="shared" si="1"/>
        <v>44882</v>
      </c>
      <c r="R5" s="16">
        <f t="shared" si="1"/>
        <v>44883</v>
      </c>
      <c r="S5" s="16">
        <f t="shared" si="1"/>
        <v>44884</v>
      </c>
      <c r="T5" s="16">
        <f t="shared" si="1"/>
        <v>44885</v>
      </c>
      <c r="U5" s="16">
        <f t="shared" si="1"/>
        <v>44886</v>
      </c>
      <c r="V5" s="16">
        <f t="shared" si="1"/>
        <v>44887</v>
      </c>
      <c r="W5" s="16">
        <f t="shared" si="1"/>
        <v>44888</v>
      </c>
      <c r="X5" s="16">
        <f t="shared" si="1"/>
        <v>44889</v>
      </c>
      <c r="Y5" s="16">
        <f t="shared" si="1"/>
        <v>44890</v>
      </c>
      <c r="Z5" s="16">
        <f t="shared" si="1"/>
        <v>44891</v>
      </c>
      <c r="AA5" s="16">
        <f t="shared" si="1"/>
        <v>44892</v>
      </c>
      <c r="AB5" s="16">
        <f t="shared" si="1"/>
        <v>44893</v>
      </c>
      <c r="AC5" s="16">
        <f t="shared" si="1"/>
        <v>44894</v>
      </c>
      <c r="AD5" s="16">
        <f t="shared" si="1"/>
        <v>44895</v>
      </c>
      <c r="AE5" s="16">
        <f t="shared" si="1"/>
        <v>44896</v>
      </c>
      <c r="AF5" s="16">
        <f t="shared" si="1"/>
        <v>44897</v>
      </c>
      <c r="AG5" s="16">
        <f t="shared" si="1"/>
        <v>44898</v>
      </c>
      <c r="AH5" s="16">
        <f t="shared" si="1"/>
        <v>44899</v>
      </c>
      <c r="AI5" s="16">
        <f t="shared" si="1"/>
        <v>44900</v>
      </c>
      <c r="AJ5" s="16">
        <f t="shared" si="1"/>
        <v>44901</v>
      </c>
      <c r="AK5" s="16">
        <f t="shared" si="1"/>
        <v>44902</v>
      </c>
      <c r="AL5" s="16">
        <f t="shared" si="1"/>
        <v>44903</v>
      </c>
      <c r="AM5" s="16">
        <f t="shared" si="1"/>
        <v>44904</v>
      </c>
      <c r="AN5" s="16">
        <f t="shared" si="1"/>
        <v>44905</v>
      </c>
      <c r="AO5" s="16">
        <f t="shared" si="1"/>
        <v>44906</v>
      </c>
      <c r="AP5" s="17">
        <f t="shared" si="1"/>
        <v>44907</v>
      </c>
    </row>
    <row r="6" spans="2:42">
      <c r="B6" s="18" t="s">
        <v>10</v>
      </c>
      <c r="C6" s="18" t="s">
        <v>11</v>
      </c>
      <c r="D6" s="18" t="s">
        <v>12</v>
      </c>
      <c r="E6" s="18" t="s">
        <v>2</v>
      </c>
      <c r="F6" s="19" t="s">
        <v>13</v>
      </c>
      <c r="G6" s="20" t="s">
        <v>14</v>
      </c>
      <c r="H6" s="19" t="s">
        <v>13</v>
      </c>
      <c r="I6" s="20" t="s">
        <v>14</v>
      </c>
      <c r="J6" s="18" t="s">
        <v>15</v>
      </c>
      <c r="K6" s="21" t="s">
        <v>16</v>
      </c>
      <c r="L6" s="22">
        <f>L5</f>
        <v>44877</v>
      </c>
      <c r="M6" s="23">
        <f>M5</f>
        <v>44878</v>
      </c>
      <c r="N6" s="23">
        <f t="shared" ref="N6:AP6" si="2">N5</f>
        <v>44879</v>
      </c>
      <c r="O6" s="23">
        <f t="shared" si="2"/>
        <v>44880</v>
      </c>
      <c r="P6" s="23">
        <f t="shared" si="2"/>
        <v>44881</v>
      </c>
      <c r="Q6" s="23">
        <f t="shared" si="2"/>
        <v>44882</v>
      </c>
      <c r="R6" s="23">
        <f t="shared" si="2"/>
        <v>44883</v>
      </c>
      <c r="S6" s="23">
        <f t="shared" si="2"/>
        <v>44884</v>
      </c>
      <c r="T6" s="23">
        <f t="shared" si="2"/>
        <v>44885</v>
      </c>
      <c r="U6" s="23">
        <f t="shared" si="2"/>
        <v>44886</v>
      </c>
      <c r="V6" s="23">
        <f t="shared" si="2"/>
        <v>44887</v>
      </c>
      <c r="W6" s="23">
        <f t="shared" si="2"/>
        <v>44888</v>
      </c>
      <c r="X6" s="23">
        <f t="shared" si="2"/>
        <v>44889</v>
      </c>
      <c r="Y6" s="23">
        <f t="shared" si="2"/>
        <v>44890</v>
      </c>
      <c r="Z6" s="23">
        <f t="shared" si="2"/>
        <v>44891</v>
      </c>
      <c r="AA6" s="23">
        <f t="shared" si="2"/>
        <v>44892</v>
      </c>
      <c r="AB6" s="23">
        <f t="shared" si="2"/>
        <v>44893</v>
      </c>
      <c r="AC6" s="23">
        <f t="shared" si="2"/>
        <v>44894</v>
      </c>
      <c r="AD6" s="23">
        <f t="shared" si="2"/>
        <v>44895</v>
      </c>
      <c r="AE6" s="23">
        <f t="shared" si="2"/>
        <v>44896</v>
      </c>
      <c r="AF6" s="23">
        <f t="shared" si="2"/>
        <v>44897</v>
      </c>
      <c r="AG6" s="23">
        <f t="shared" si="2"/>
        <v>44898</v>
      </c>
      <c r="AH6" s="23">
        <f t="shared" si="2"/>
        <v>44899</v>
      </c>
      <c r="AI6" s="23">
        <f t="shared" si="2"/>
        <v>44900</v>
      </c>
      <c r="AJ6" s="23">
        <f t="shared" si="2"/>
        <v>44901</v>
      </c>
      <c r="AK6" s="23">
        <f t="shared" si="2"/>
        <v>44902</v>
      </c>
      <c r="AL6" s="23">
        <f t="shared" si="2"/>
        <v>44903</v>
      </c>
      <c r="AM6" s="23">
        <f t="shared" si="2"/>
        <v>44904</v>
      </c>
      <c r="AN6" s="23">
        <f t="shared" si="2"/>
        <v>44905</v>
      </c>
      <c r="AO6" s="23">
        <f t="shared" si="2"/>
        <v>44906</v>
      </c>
      <c r="AP6" s="24">
        <f t="shared" si="2"/>
        <v>44907</v>
      </c>
    </row>
    <row r="7" spans="2:42">
      <c r="B7" s="25" t="s">
        <v>28</v>
      </c>
      <c r="C7" s="26" t="s">
        <v>27</v>
      </c>
      <c r="D7" s="25" t="s">
        <v>25</v>
      </c>
      <c r="E7" s="28">
        <v>44854</v>
      </c>
      <c r="F7" s="27">
        <v>44851</v>
      </c>
      <c r="G7" s="28">
        <v>44854</v>
      </c>
      <c r="H7" s="27">
        <v>44851</v>
      </c>
      <c r="I7" s="28">
        <v>44853</v>
      </c>
      <c r="J7" s="25" t="str">
        <f>IF(AND(E7&lt;&gt;"",F7&lt;&gt;"",G7&lt;&gt;""),
    IF(I7&lt;&gt;"",
        "完了",
        IF(H7&lt;&gt;"",
            IF($G$2&gt;E7,
                "実施中(期日超過)",
                IF($G$2&gt;G7,
                    "実施中(遅延)",
                    "実施中")
                ),
            IF($G$2&gt;E7,
                "未着手(期日超過)",
                IF($G$2&gt;G7,
                    "未着手(遅延)",
                    IF($G$2&gt;F7,
                        "未着手(開始遅延)",
                        "未着手"
                    )
                )
            )
        )
    ),
    "－"
)</f>
        <v>完了</v>
      </c>
      <c r="K7" s="29">
        <v>1</v>
      </c>
      <c r="L7" s="30" t="str">
        <f ca="1">IF(L$5=$E7,
     "◆",
     IF(AND($H7&lt;&gt;"",$H7&lt;=L$5,OR($I7="",L$5&lt;=$I7),L$5&lt;=$G$2),
          IF(L$5&lt;$E7,
               "＞",
               "≫"
          ),
          ""
     )
)</f>
        <v/>
      </c>
      <c r="M7" s="31" t="str">
        <f t="shared" ref="M7:AB24" ca="1" si="3">IF(M$5=$E7,
     "◆",
     IF(AND($H7&lt;&gt;"",$H7&lt;=M$5,OR($I7="",M$5&lt;=$I7),M$5&lt;=$G$2),
          IF(M$5&lt;$E7,
               "＞",
               "≫"
          ),
          ""
     )
)</f>
        <v/>
      </c>
      <c r="N7" s="31" t="str">
        <f t="shared" ca="1" si="3"/>
        <v/>
      </c>
      <c r="O7" s="31" t="str">
        <f t="shared" ca="1" si="3"/>
        <v/>
      </c>
      <c r="P7" s="31" t="str">
        <f t="shared" ca="1" si="3"/>
        <v/>
      </c>
      <c r="Q7" s="31" t="str">
        <f t="shared" ca="1" si="3"/>
        <v/>
      </c>
      <c r="R7" s="31" t="str">
        <f t="shared" ca="1" si="3"/>
        <v/>
      </c>
      <c r="S7" s="31" t="str">
        <f t="shared" ca="1" si="3"/>
        <v/>
      </c>
      <c r="T7" s="31" t="str">
        <f t="shared" ca="1" si="3"/>
        <v/>
      </c>
      <c r="U7" s="31" t="str">
        <f t="shared" ca="1" si="3"/>
        <v/>
      </c>
      <c r="V7" s="31" t="str">
        <f t="shared" ca="1" si="3"/>
        <v/>
      </c>
      <c r="W7" s="31" t="str">
        <f t="shared" ca="1" si="3"/>
        <v/>
      </c>
      <c r="X7" s="31" t="str">
        <f t="shared" ca="1" si="3"/>
        <v/>
      </c>
      <c r="Y7" s="31" t="str">
        <f t="shared" ca="1" si="3"/>
        <v/>
      </c>
      <c r="Z7" s="31" t="str">
        <f t="shared" ca="1" si="3"/>
        <v/>
      </c>
      <c r="AA7" s="31" t="str">
        <f t="shared" ca="1" si="3"/>
        <v/>
      </c>
      <c r="AB7" s="31" t="str">
        <f t="shared" ca="1" si="3"/>
        <v/>
      </c>
      <c r="AC7" s="31" t="str">
        <f t="shared" ref="AC7:AP24" ca="1" si="4">IF(AC$5=$E7,
     "◆",
     IF(AND($H7&lt;&gt;"",$H7&lt;=AC$5,OR($I7="",AC$5&lt;=$I7),AC$5&lt;=$G$2),
          IF(AC$5&lt;$E7,
               "＞",
               "≫"
          ),
          ""
     )
)</f>
        <v/>
      </c>
      <c r="AD7" s="31" t="str">
        <f t="shared" ca="1" si="4"/>
        <v/>
      </c>
      <c r="AE7" s="31" t="str">
        <f t="shared" ca="1" si="4"/>
        <v/>
      </c>
      <c r="AF7" s="31" t="str">
        <f t="shared" ca="1" si="4"/>
        <v/>
      </c>
      <c r="AG7" s="31" t="str">
        <f t="shared" ca="1" si="4"/>
        <v/>
      </c>
      <c r="AH7" s="31" t="str">
        <f t="shared" ca="1" si="4"/>
        <v/>
      </c>
      <c r="AI7" s="31" t="str">
        <f t="shared" ca="1" si="4"/>
        <v/>
      </c>
      <c r="AJ7" s="31" t="str">
        <f t="shared" ca="1" si="4"/>
        <v/>
      </c>
      <c r="AK7" s="31" t="str">
        <f t="shared" ca="1" si="4"/>
        <v/>
      </c>
      <c r="AL7" s="31" t="str">
        <f t="shared" ca="1" si="4"/>
        <v/>
      </c>
      <c r="AM7" s="31" t="str">
        <f t="shared" ca="1" si="4"/>
        <v/>
      </c>
      <c r="AN7" s="31" t="str">
        <f t="shared" ca="1" si="4"/>
        <v/>
      </c>
      <c r="AO7" s="31" t="str">
        <f t="shared" ca="1" si="4"/>
        <v/>
      </c>
      <c r="AP7" s="32" t="str">
        <f t="shared" ca="1" si="4"/>
        <v/>
      </c>
    </row>
    <row r="8" spans="2:42" s="49" customFormat="1">
      <c r="B8" s="40" t="s">
        <v>26</v>
      </c>
      <c r="C8" s="41" t="s">
        <v>39</v>
      </c>
      <c r="D8" s="40"/>
      <c r="E8" s="42"/>
      <c r="F8" s="43"/>
      <c r="G8" s="44"/>
      <c r="H8" s="43"/>
      <c r="I8" s="44"/>
      <c r="J8" s="40" t="str">
        <f t="shared" ref="J8:J24" si="5">IF(AND(E8&lt;&gt;"",F8&lt;&gt;"",G8&lt;&gt;""),
    IF(I8&lt;&gt;"",
        "完了",
        IF(H8&lt;&gt;"",
            IF($G$2&gt;E8,
                "実施中(期日超過)",
                IF($G$2&gt;G8,
                    "実施中(遅延)",
                    "実施中")
                ),
            IF($G$2&gt;E8,
                "未着手(期日超過)",
                IF($G$2&gt;G8,
                    "未着手(遅延)",
                    IF($G$2&gt;F8,
                        "未着手(開始遅延)",
                        "未着手"
                    )
                )
            )
        )
    ),
    "－"
)</f>
        <v>－</v>
      </c>
      <c r="K8" s="45">
        <v>0</v>
      </c>
      <c r="L8" s="46" t="str">
        <f t="shared" ref="L8:AA24" ca="1" si="6">IF(L$5=$E8,
     "◆",
     IF(AND($H8&lt;&gt;"",$H8&lt;=L$5,OR($I8="",L$5&lt;=$I8),L$5&lt;=$G$2),
          IF(L$5&lt;$E8,
               "＞",
               "≫"
          ),
          ""
     )
)</f>
        <v/>
      </c>
      <c r="M8" s="47" t="str">
        <f t="shared" ca="1" si="3"/>
        <v/>
      </c>
      <c r="N8" s="47" t="str">
        <f t="shared" ca="1" si="3"/>
        <v/>
      </c>
      <c r="O8" s="47" t="str">
        <f t="shared" ca="1" si="3"/>
        <v/>
      </c>
      <c r="P8" s="47" t="str">
        <f t="shared" ca="1" si="3"/>
        <v/>
      </c>
      <c r="Q8" s="47" t="str">
        <f t="shared" ca="1" si="3"/>
        <v/>
      </c>
      <c r="R8" s="47" t="str">
        <f t="shared" ca="1" si="3"/>
        <v/>
      </c>
      <c r="S8" s="47" t="str">
        <f t="shared" ca="1" si="3"/>
        <v/>
      </c>
      <c r="T8" s="47" t="str">
        <f t="shared" ca="1" si="3"/>
        <v/>
      </c>
      <c r="U8" s="47" t="str">
        <f t="shared" ca="1" si="3"/>
        <v/>
      </c>
      <c r="V8" s="47" t="str">
        <f t="shared" ca="1" si="3"/>
        <v/>
      </c>
      <c r="W8" s="47" t="str">
        <f t="shared" ca="1" si="3"/>
        <v/>
      </c>
      <c r="X8" s="47" t="str">
        <f t="shared" ca="1" si="3"/>
        <v/>
      </c>
      <c r="Y8" s="47" t="str">
        <f t="shared" ca="1" si="3"/>
        <v/>
      </c>
      <c r="Z8" s="47" t="str">
        <f t="shared" ca="1" si="3"/>
        <v/>
      </c>
      <c r="AA8" s="47" t="str">
        <f t="shared" ca="1" si="3"/>
        <v/>
      </c>
      <c r="AB8" s="47" t="str">
        <f t="shared" ca="1" si="3"/>
        <v/>
      </c>
      <c r="AC8" s="47" t="str">
        <f t="shared" ca="1" si="4"/>
        <v/>
      </c>
      <c r="AD8" s="47" t="str">
        <f t="shared" ca="1" si="4"/>
        <v/>
      </c>
      <c r="AE8" s="47" t="str">
        <f t="shared" ca="1" si="4"/>
        <v/>
      </c>
      <c r="AF8" s="47" t="str">
        <f t="shared" ca="1" si="4"/>
        <v/>
      </c>
      <c r="AG8" s="47" t="str">
        <f t="shared" ca="1" si="4"/>
        <v/>
      </c>
      <c r="AH8" s="47" t="str">
        <f t="shared" ca="1" si="4"/>
        <v/>
      </c>
      <c r="AI8" s="47" t="str">
        <f t="shared" ca="1" si="4"/>
        <v/>
      </c>
      <c r="AJ8" s="47" t="str">
        <f t="shared" ca="1" si="4"/>
        <v/>
      </c>
      <c r="AK8" s="47" t="str">
        <f t="shared" ca="1" si="4"/>
        <v/>
      </c>
      <c r="AL8" s="47" t="str">
        <f t="shared" ca="1" si="4"/>
        <v/>
      </c>
      <c r="AM8" s="47" t="str">
        <f t="shared" ca="1" si="4"/>
        <v/>
      </c>
      <c r="AN8" s="47" t="str">
        <f t="shared" ca="1" si="4"/>
        <v/>
      </c>
      <c r="AO8" s="47" t="str">
        <f t="shared" ca="1" si="4"/>
        <v/>
      </c>
      <c r="AP8" s="48" t="str">
        <f t="shared" ca="1" si="4"/>
        <v/>
      </c>
    </row>
    <row r="9" spans="2:42">
      <c r="B9" s="25" t="s">
        <v>30</v>
      </c>
      <c r="C9" s="26" t="s">
        <v>31</v>
      </c>
      <c r="D9" s="25" t="s">
        <v>25</v>
      </c>
      <c r="E9" s="28">
        <v>44859</v>
      </c>
      <c r="F9" s="27">
        <v>44855</v>
      </c>
      <c r="G9" s="28">
        <v>44859</v>
      </c>
      <c r="H9" s="27">
        <v>44855</v>
      </c>
      <c r="I9" s="50">
        <v>44855</v>
      </c>
      <c r="J9" s="25" t="str">
        <f t="shared" si="5"/>
        <v>完了</v>
      </c>
      <c r="K9" s="29">
        <v>1</v>
      </c>
      <c r="L9" s="30" t="str">
        <f t="shared" ca="1" si="6"/>
        <v/>
      </c>
      <c r="M9" s="31" t="str">
        <f t="shared" ca="1" si="3"/>
        <v/>
      </c>
      <c r="N9" s="31" t="str">
        <f t="shared" ca="1" si="3"/>
        <v/>
      </c>
      <c r="O9" s="31" t="str">
        <f t="shared" ca="1" si="3"/>
        <v/>
      </c>
      <c r="P9" s="31" t="str">
        <f t="shared" ca="1" si="3"/>
        <v/>
      </c>
      <c r="Q9" s="31" t="str">
        <f t="shared" ca="1" si="3"/>
        <v/>
      </c>
      <c r="R9" s="31" t="str">
        <f t="shared" ca="1" si="3"/>
        <v/>
      </c>
      <c r="S9" s="31" t="str">
        <f t="shared" ca="1" si="3"/>
        <v/>
      </c>
      <c r="T9" s="31" t="str">
        <f t="shared" ca="1" si="3"/>
        <v/>
      </c>
      <c r="U9" s="31" t="str">
        <f t="shared" ca="1" si="3"/>
        <v/>
      </c>
      <c r="V9" s="31" t="str">
        <f t="shared" ca="1" si="3"/>
        <v/>
      </c>
      <c r="W9" s="31" t="str">
        <f t="shared" ca="1" si="3"/>
        <v/>
      </c>
      <c r="X9" s="31" t="str">
        <f t="shared" ca="1" si="3"/>
        <v/>
      </c>
      <c r="Y9" s="31" t="str">
        <f t="shared" ca="1" si="3"/>
        <v/>
      </c>
      <c r="Z9" s="31" t="str">
        <f t="shared" ca="1" si="3"/>
        <v/>
      </c>
      <c r="AA9" s="31" t="str">
        <f t="shared" ca="1" si="3"/>
        <v/>
      </c>
      <c r="AB9" s="31" t="str">
        <f t="shared" ca="1" si="3"/>
        <v/>
      </c>
      <c r="AC9" s="31" t="str">
        <f t="shared" ca="1" si="4"/>
        <v/>
      </c>
      <c r="AD9" s="31" t="str">
        <f t="shared" ca="1" si="4"/>
        <v/>
      </c>
      <c r="AE9" s="31" t="str">
        <f t="shared" ca="1" si="4"/>
        <v/>
      </c>
      <c r="AF9" s="31" t="str">
        <f t="shared" ca="1" si="4"/>
        <v/>
      </c>
      <c r="AG9" s="31" t="str">
        <f t="shared" ca="1" si="4"/>
        <v/>
      </c>
      <c r="AH9" s="31" t="str">
        <f t="shared" ca="1" si="4"/>
        <v/>
      </c>
      <c r="AI9" s="31" t="str">
        <f t="shared" ca="1" si="4"/>
        <v/>
      </c>
      <c r="AJ9" s="31" t="str">
        <f t="shared" ca="1" si="4"/>
        <v/>
      </c>
      <c r="AK9" s="31" t="str">
        <f t="shared" ca="1" si="4"/>
        <v/>
      </c>
      <c r="AL9" s="31" t="str">
        <f t="shared" ca="1" si="4"/>
        <v/>
      </c>
      <c r="AM9" s="31" t="str">
        <f t="shared" ca="1" si="4"/>
        <v/>
      </c>
      <c r="AN9" s="31" t="str">
        <f t="shared" ca="1" si="4"/>
        <v/>
      </c>
      <c r="AO9" s="31" t="str">
        <f t="shared" ca="1" si="4"/>
        <v/>
      </c>
      <c r="AP9" s="32" t="str">
        <f t="shared" ca="1" si="4"/>
        <v/>
      </c>
    </row>
    <row r="10" spans="2:42">
      <c r="B10" s="25"/>
      <c r="C10" s="26" t="s">
        <v>32</v>
      </c>
      <c r="D10" s="25" t="s">
        <v>25</v>
      </c>
      <c r="E10" s="28">
        <v>44859</v>
      </c>
      <c r="F10" s="27">
        <v>44855</v>
      </c>
      <c r="G10" s="28">
        <v>44859</v>
      </c>
      <c r="H10" s="27">
        <v>44855</v>
      </c>
      <c r="I10" s="50">
        <v>44855</v>
      </c>
      <c r="J10" s="25" t="str">
        <f t="shared" si="5"/>
        <v>完了</v>
      </c>
      <c r="K10" s="29">
        <v>1</v>
      </c>
      <c r="L10" s="30" t="str">
        <f t="shared" ca="1" si="6"/>
        <v/>
      </c>
      <c r="M10" s="31" t="str">
        <f t="shared" ca="1" si="3"/>
        <v/>
      </c>
      <c r="N10" s="31" t="str">
        <f t="shared" ca="1" si="3"/>
        <v/>
      </c>
      <c r="O10" s="31" t="str">
        <f t="shared" ca="1" si="3"/>
        <v/>
      </c>
      <c r="P10" s="31" t="str">
        <f t="shared" ca="1" si="3"/>
        <v/>
      </c>
      <c r="Q10" s="31" t="str">
        <f t="shared" ca="1" si="3"/>
        <v/>
      </c>
      <c r="R10" s="31" t="str">
        <f t="shared" ca="1" si="3"/>
        <v/>
      </c>
      <c r="S10" s="31" t="str">
        <f t="shared" ca="1" si="3"/>
        <v/>
      </c>
      <c r="T10" s="31" t="str">
        <f t="shared" ca="1" si="3"/>
        <v/>
      </c>
      <c r="U10" s="31" t="str">
        <f t="shared" ca="1" si="3"/>
        <v/>
      </c>
      <c r="V10" s="31" t="str">
        <f t="shared" ca="1" si="3"/>
        <v/>
      </c>
      <c r="W10" s="31" t="str">
        <f t="shared" ca="1" si="3"/>
        <v/>
      </c>
      <c r="X10" s="31" t="str">
        <f t="shared" ca="1" si="3"/>
        <v/>
      </c>
      <c r="Y10" s="31" t="str">
        <f t="shared" ca="1" si="3"/>
        <v/>
      </c>
      <c r="Z10" s="31" t="str">
        <f t="shared" ca="1" si="3"/>
        <v/>
      </c>
      <c r="AA10" s="31" t="str">
        <f t="shared" ca="1" si="3"/>
        <v/>
      </c>
      <c r="AB10" s="31" t="str">
        <f t="shared" ca="1" si="3"/>
        <v/>
      </c>
      <c r="AC10" s="31" t="str">
        <f t="shared" ca="1" si="4"/>
        <v/>
      </c>
      <c r="AD10" s="31" t="str">
        <f t="shared" ca="1" si="4"/>
        <v/>
      </c>
      <c r="AE10" s="31" t="str">
        <f t="shared" ca="1" si="4"/>
        <v/>
      </c>
      <c r="AF10" s="31" t="str">
        <f t="shared" ca="1" si="4"/>
        <v/>
      </c>
      <c r="AG10" s="31" t="str">
        <f t="shared" ca="1" si="4"/>
        <v/>
      </c>
      <c r="AH10" s="31" t="str">
        <f t="shared" ca="1" si="4"/>
        <v/>
      </c>
      <c r="AI10" s="31" t="str">
        <f t="shared" ca="1" si="4"/>
        <v/>
      </c>
      <c r="AJ10" s="31" t="str">
        <f t="shared" ca="1" si="4"/>
        <v/>
      </c>
      <c r="AK10" s="31" t="str">
        <f t="shared" ca="1" si="4"/>
        <v/>
      </c>
      <c r="AL10" s="31" t="str">
        <f t="shared" ca="1" si="4"/>
        <v/>
      </c>
      <c r="AM10" s="31" t="str">
        <f t="shared" ca="1" si="4"/>
        <v/>
      </c>
      <c r="AN10" s="31" t="str">
        <f t="shared" ca="1" si="4"/>
        <v/>
      </c>
      <c r="AO10" s="31" t="str">
        <f t="shared" ca="1" si="4"/>
        <v/>
      </c>
      <c r="AP10" s="32" t="str">
        <f t="shared" ca="1" si="4"/>
        <v/>
      </c>
    </row>
    <row r="11" spans="2:42">
      <c r="B11" s="25"/>
      <c r="C11" s="26" t="s">
        <v>33</v>
      </c>
      <c r="D11" s="25" t="s">
        <v>25</v>
      </c>
      <c r="E11" s="4">
        <v>44862</v>
      </c>
      <c r="F11" s="27">
        <v>44860</v>
      </c>
      <c r="G11" s="28">
        <v>44862</v>
      </c>
      <c r="H11" s="27">
        <v>44858</v>
      </c>
      <c r="I11" s="28">
        <v>44858</v>
      </c>
      <c r="J11" s="25" t="str">
        <f t="shared" si="5"/>
        <v>完了</v>
      </c>
      <c r="K11" s="29">
        <v>1</v>
      </c>
      <c r="L11" s="30" t="str">
        <f t="shared" ca="1" si="6"/>
        <v/>
      </c>
      <c r="M11" s="31" t="str">
        <f t="shared" ca="1" si="3"/>
        <v/>
      </c>
      <c r="N11" s="31" t="str">
        <f t="shared" ca="1" si="3"/>
        <v/>
      </c>
      <c r="O11" s="31" t="str">
        <f t="shared" ca="1" si="3"/>
        <v/>
      </c>
      <c r="P11" s="31" t="str">
        <f t="shared" ca="1" si="3"/>
        <v/>
      </c>
      <c r="Q11" s="31" t="str">
        <f t="shared" ca="1" si="3"/>
        <v/>
      </c>
      <c r="R11" s="31" t="str">
        <f t="shared" ca="1" si="3"/>
        <v/>
      </c>
      <c r="S11" s="31" t="str">
        <f t="shared" ca="1" si="3"/>
        <v/>
      </c>
      <c r="T11" s="31" t="str">
        <f t="shared" ca="1" si="3"/>
        <v/>
      </c>
      <c r="U11" s="31" t="str">
        <f t="shared" ca="1" si="3"/>
        <v/>
      </c>
      <c r="V11" s="31" t="str">
        <f t="shared" ca="1" si="3"/>
        <v/>
      </c>
      <c r="W11" s="31" t="str">
        <f t="shared" ca="1" si="3"/>
        <v/>
      </c>
      <c r="X11" s="31" t="str">
        <f t="shared" ca="1" si="3"/>
        <v/>
      </c>
      <c r="Y11" s="31" t="str">
        <f t="shared" ca="1" si="3"/>
        <v/>
      </c>
      <c r="Z11" s="31" t="str">
        <f t="shared" ca="1" si="3"/>
        <v/>
      </c>
      <c r="AA11" s="31" t="str">
        <f t="shared" ca="1" si="3"/>
        <v/>
      </c>
      <c r="AB11" s="31" t="str">
        <f t="shared" ca="1" si="3"/>
        <v/>
      </c>
      <c r="AC11" s="31" t="str">
        <f t="shared" ca="1" si="4"/>
        <v/>
      </c>
      <c r="AD11" s="31" t="str">
        <f t="shared" ca="1" si="4"/>
        <v/>
      </c>
      <c r="AE11" s="31" t="str">
        <f t="shared" ca="1" si="4"/>
        <v/>
      </c>
      <c r="AF11" s="31" t="str">
        <f t="shared" ca="1" si="4"/>
        <v/>
      </c>
      <c r="AG11" s="31" t="str">
        <f t="shared" ca="1" si="4"/>
        <v/>
      </c>
      <c r="AH11" s="31" t="str">
        <f t="shared" ca="1" si="4"/>
        <v/>
      </c>
      <c r="AI11" s="31" t="str">
        <f t="shared" ca="1" si="4"/>
        <v/>
      </c>
      <c r="AJ11" s="31" t="str">
        <f t="shared" ca="1" si="4"/>
        <v/>
      </c>
      <c r="AK11" s="31" t="str">
        <f t="shared" ca="1" si="4"/>
        <v/>
      </c>
      <c r="AL11" s="31" t="str">
        <f t="shared" ca="1" si="4"/>
        <v/>
      </c>
      <c r="AM11" s="31" t="str">
        <f t="shared" ca="1" si="4"/>
        <v/>
      </c>
      <c r="AN11" s="31" t="str">
        <f t="shared" ca="1" si="4"/>
        <v/>
      </c>
      <c r="AO11" s="31" t="str">
        <f t="shared" ca="1" si="4"/>
        <v/>
      </c>
      <c r="AP11" s="32" t="str">
        <f t="shared" ca="1" si="4"/>
        <v/>
      </c>
    </row>
    <row r="12" spans="2:42">
      <c r="B12" s="25" t="s">
        <v>40</v>
      </c>
      <c r="C12" s="51" t="s">
        <v>34</v>
      </c>
      <c r="D12" s="25" t="s">
        <v>25</v>
      </c>
      <c r="E12" s="4">
        <v>44876</v>
      </c>
      <c r="F12" s="27">
        <v>44865</v>
      </c>
      <c r="G12" s="28">
        <v>44876</v>
      </c>
      <c r="H12" s="27">
        <v>44865</v>
      </c>
      <c r="I12" s="28">
        <v>44875</v>
      </c>
      <c r="J12" s="25" t="str">
        <f t="shared" si="5"/>
        <v>完了</v>
      </c>
      <c r="K12" s="29">
        <v>1</v>
      </c>
      <c r="L12" s="30" t="str">
        <f t="shared" ca="1" si="6"/>
        <v/>
      </c>
      <c r="M12" s="31" t="str">
        <f t="shared" ca="1" si="3"/>
        <v/>
      </c>
      <c r="N12" s="31" t="str">
        <f t="shared" ca="1" si="3"/>
        <v/>
      </c>
      <c r="O12" s="31" t="str">
        <f t="shared" ca="1" si="3"/>
        <v/>
      </c>
      <c r="P12" s="31" t="str">
        <f t="shared" ca="1" si="3"/>
        <v/>
      </c>
      <c r="Q12" s="31" t="str">
        <f t="shared" ca="1" si="3"/>
        <v/>
      </c>
      <c r="R12" s="31" t="str">
        <f t="shared" ca="1" si="3"/>
        <v/>
      </c>
      <c r="S12" s="31" t="str">
        <f t="shared" ca="1" si="3"/>
        <v/>
      </c>
      <c r="T12" s="31" t="str">
        <f t="shared" ca="1" si="3"/>
        <v/>
      </c>
      <c r="U12" s="31" t="str">
        <f t="shared" ca="1" si="3"/>
        <v/>
      </c>
      <c r="V12" s="31" t="str">
        <f t="shared" ca="1" si="3"/>
        <v/>
      </c>
      <c r="W12" s="31" t="str">
        <f t="shared" ca="1" si="3"/>
        <v/>
      </c>
      <c r="X12" s="31" t="str">
        <f t="shared" ca="1" si="3"/>
        <v/>
      </c>
      <c r="Y12" s="31" t="str">
        <f t="shared" ca="1" si="3"/>
        <v/>
      </c>
      <c r="Z12" s="31" t="str">
        <f t="shared" ca="1" si="3"/>
        <v/>
      </c>
      <c r="AA12" s="31" t="str">
        <f t="shared" ca="1" si="3"/>
        <v/>
      </c>
      <c r="AB12" s="31" t="str">
        <f t="shared" ca="1" si="3"/>
        <v/>
      </c>
      <c r="AC12" s="31" t="str">
        <f t="shared" ca="1" si="4"/>
        <v/>
      </c>
      <c r="AD12" s="31" t="str">
        <f t="shared" ca="1" si="4"/>
        <v/>
      </c>
      <c r="AE12" s="31" t="str">
        <f t="shared" ca="1" si="4"/>
        <v/>
      </c>
      <c r="AF12" s="31" t="str">
        <f t="shared" ca="1" si="4"/>
        <v/>
      </c>
      <c r="AG12" s="31" t="str">
        <f t="shared" ca="1" si="4"/>
        <v/>
      </c>
      <c r="AH12" s="31" t="str">
        <f t="shared" ca="1" si="4"/>
        <v/>
      </c>
      <c r="AI12" s="31" t="str">
        <f t="shared" ca="1" si="4"/>
        <v/>
      </c>
      <c r="AJ12" s="31" t="str">
        <f t="shared" ca="1" si="4"/>
        <v/>
      </c>
      <c r="AK12" s="31" t="str">
        <f t="shared" ca="1" si="4"/>
        <v/>
      </c>
      <c r="AL12" s="31" t="str">
        <f t="shared" ca="1" si="4"/>
        <v/>
      </c>
      <c r="AM12" s="31" t="str">
        <f t="shared" ca="1" si="4"/>
        <v/>
      </c>
      <c r="AN12" s="31" t="str">
        <f t="shared" ca="1" si="4"/>
        <v/>
      </c>
      <c r="AO12" s="31" t="str">
        <f t="shared" ca="1" si="4"/>
        <v/>
      </c>
      <c r="AP12" s="32" t="str">
        <f t="shared" ca="1" si="4"/>
        <v/>
      </c>
    </row>
    <row r="13" spans="2:42">
      <c r="B13" s="25" t="s">
        <v>41</v>
      </c>
      <c r="C13" s="51" t="s">
        <v>35</v>
      </c>
      <c r="D13" s="25" t="s">
        <v>25</v>
      </c>
      <c r="E13" s="4">
        <v>44880</v>
      </c>
      <c r="F13" s="27">
        <v>44879</v>
      </c>
      <c r="G13" s="28">
        <v>44880</v>
      </c>
      <c r="H13" s="27">
        <v>44876</v>
      </c>
      <c r="I13" s="28">
        <v>44877</v>
      </c>
      <c r="J13" s="25" t="str">
        <f t="shared" si="5"/>
        <v>完了</v>
      </c>
      <c r="K13" s="29">
        <v>0</v>
      </c>
      <c r="L13" s="30" t="str">
        <f t="shared" ca="1" si="6"/>
        <v>＞</v>
      </c>
      <c r="M13" s="31" t="str">
        <f t="shared" ca="1" si="3"/>
        <v/>
      </c>
      <c r="N13" s="31" t="str">
        <f t="shared" ca="1" si="3"/>
        <v/>
      </c>
      <c r="O13" s="31" t="str">
        <f t="shared" si="3"/>
        <v>◆</v>
      </c>
      <c r="P13" s="31" t="str">
        <f t="shared" ca="1" si="3"/>
        <v/>
      </c>
      <c r="Q13" s="31" t="str">
        <f t="shared" ca="1" si="3"/>
        <v/>
      </c>
      <c r="R13" s="31" t="str">
        <f t="shared" ca="1" si="3"/>
        <v/>
      </c>
      <c r="S13" s="31" t="str">
        <f t="shared" ca="1" si="3"/>
        <v/>
      </c>
      <c r="T13" s="31" t="str">
        <f t="shared" ca="1" si="3"/>
        <v/>
      </c>
      <c r="U13" s="31" t="str">
        <f t="shared" ca="1" si="3"/>
        <v/>
      </c>
      <c r="V13" s="31" t="str">
        <f t="shared" ca="1" si="3"/>
        <v/>
      </c>
      <c r="W13" s="31" t="str">
        <f t="shared" ca="1" si="3"/>
        <v/>
      </c>
      <c r="X13" s="31" t="str">
        <f t="shared" ca="1" si="3"/>
        <v/>
      </c>
      <c r="Y13" s="31" t="str">
        <f t="shared" ca="1" si="3"/>
        <v/>
      </c>
      <c r="Z13" s="31" t="str">
        <f t="shared" ca="1" si="3"/>
        <v/>
      </c>
      <c r="AA13" s="31" t="str">
        <f t="shared" ca="1" si="3"/>
        <v/>
      </c>
      <c r="AB13" s="31" t="str">
        <f t="shared" ca="1" si="3"/>
        <v/>
      </c>
      <c r="AC13" s="31" t="str">
        <f t="shared" ca="1" si="4"/>
        <v/>
      </c>
      <c r="AD13" s="31" t="str">
        <f t="shared" ca="1" si="4"/>
        <v/>
      </c>
      <c r="AE13" s="31" t="str">
        <f t="shared" ca="1" si="4"/>
        <v/>
      </c>
      <c r="AF13" s="31" t="str">
        <f t="shared" ca="1" si="4"/>
        <v/>
      </c>
      <c r="AG13" s="31" t="str">
        <f t="shared" ca="1" si="4"/>
        <v/>
      </c>
      <c r="AH13" s="31" t="str">
        <f t="shared" ca="1" si="4"/>
        <v/>
      </c>
      <c r="AI13" s="31" t="str">
        <f t="shared" ca="1" si="4"/>
        <v/>
      </c>
      <c r="AJ13" s="31" t="str">
        <f t="shared" ca="1" si="4"/>
        <v/>
      </c>
      <c r="AK13" s="31" t="str">
        <f t="shared" ca="1" si="4"/>
        <v/>
      </c>
      <c r="AL13" s="31" t="str">
        <f t="shared" ca="1" si="4"/>
        <v/>
      </c>
      <c r="AM13" s="31" t="str">
        <f t="shared" ca="1" si="4"/>
        <v/>
      </c>
      <c r="AN13" s="31" t="str">
        <f t="shared" ca="1" si="4"/>
        <v/>
      </c>
      <c r="AO13" s="31" t="str">
        <f t="shared" ca="1" si="4"/>
        <v/>
      </c>
      <c r="AP13" s="32" t="str">
        <f t="shared" ca="1" si="4"/>
        <v/>
      </c>
    </row>
    <row r="14" spans="2:42">
      <c r="B14" s="25"/>
      <c r="C14" s="26" t="s">
        <v>36</v>
      </c>
      <c r="D14" s="25" t="s">
        <v>25</v>
      </c>
      <c r="E14" s="4">
        <v>44895</v>
      </c>
      <c r="F14" s="27">
        <v>44881</v>
      </c>
      <c r="G14" s="28">
        <v>44895</v>
      </c>
      <c r="H14" s="27">
        <v>44877</v>
      </c>
      <c r="I14" s="28"/>
      <c r="J14" s="25" t="str">
        <f t="shared" ca="1" si="5"/>
        <v>実施中</v>
      </c>
      <c r="K14" s="29">
        <v>0.6</v>
      </c>
      <c r="L14" s="30" t="str">
        <f t="shared" ca="1" si="6"/>
        <v>＞</v>
      </c>
      <c r="M14" s="31" t="str">
        <f t="shared" ca="1" si="3"/>
        <v>＞</v>
      </c>
      <c r="N14" s="31" t="str">
        <f t="shared" ca="1" si="3"/>
        <v>＞</v>
      </c>
      <c r="O14" s="31" t="str">
        <f t="shared" ca="1" si="3"/>
        <v>＞</v>
      </c>
      <c r="P14" s="31" t="str">
        <f t="shared" ca="1" si="3"/>
        <v>＞</v>
      </c>
      <c r="Q14" s="31" t="str">
        <f t="shared" ca="1" si="3"/>
        <v>＞</v>
      </c>
      <c r="R14" s="31" t="str">
        <f t="shared" ca="1" si="3"/>
        <v>＞</v>
      </c>
      <c r="S14" s="31" t="str">
        <f t="shared" ca="1" si="3"/>
        <v>＞</v>
      </c>
      <c r="T14" s="31" t="str">
        <f t="shared" ca="1" si="3"/>
        <v>＞</v>
      </c>
      <c r="U14" s="31" t="str">
        <f t="shared" ca="1" si="3"/>
        <v>＞</v>
      </c>
      <c r="V14" s="31" t="str">
        <f t="shared" ca="1" si="3"/>
        <v>＞</v>
      </c>
      <c r="W14" s="31" t="str">
        <f t="shared" ca="1" si="3"/>
        <v>＞</v>
      </c>
      <c r="X14" s="31" t="str">
        <f t="shared" ca="1" si="3"/>
        <v>＞</v>
      </c>
      <c r="Y14" s="31" t="str">
        <f t="shared" ca="1" si="3"/>
        <v>＞</v>
      </c>
      <c r="Z14" s="31" t="str">
        <f t="shared" ca="1" si="3"/>
        <v>＞</v>
      </c>
      <c r="AA14" s="31" t="str">
        <f t="shared" ca="1" si="3"/>
        <v>＞</v>
      </c>
      <c r="AB14" s="31" t="str">
        <f t="shared" ca="1" si="3"/>
        <v/>
      </c>
      <c r="AC14" s="31" t="str">
        <f t="shared" ca="1" si="4"/>
        <v/>
      </c>
      <c r="AD14" s="31" t="str">
        <f t="shared" si="4"/>
        <v>◆</v>
      </c>
      <c r="AE14" s="31" t="str">
        <f t="shared" ca="1" si="4"/>
        <v/>
      </c>
      <c r="AF14" s="31" t="str">
        <f t="shared" ca="1" si="4"/>
        <v/>
      </c>
      <c r="AG14" s="31" t="str">
        <f t="shared" ca="1" si="4"/>
        <v/>
      </c>
      <c r="AH14" s="31" t="str">
        <f t="shared" ca="1" si="4"/>
        <v/>
      </c>
      <c r="AI14" s="31" t="str">
        <f t="shared" ca="1" si="4"/>
        <v/>
      </c>
      <c r="AJ14" s="31" t="str">
        <f t="shared" ca="1" si="4"/>
        <v/>
      </c>
      <c r="AK14" s="31" t="str">
        <f t="shared" ca="1" si="4"/>
        <v/>
      </c>
      <c r="AL14" s="31" t="str">
        <f t="shared" ca="1" si="4"/>
        <v/>
      </c>
      <c r="AM14" s="31" t="str">
        <f t="shared" ca="1" si="4"/>
        <v/>
      </c>
      <c r="AN14" s="31" t="str">
        <f t="shared" ca="1" si="4"/>
        <v/>
      </c>
      <c r="AO14" s="31" t="str">
        <f t="shared" ca="1" si="4"/>
        <v/>
      </c>
      <c r="AP14" s="32" t="str">
        <f t="shared" ca="1" si="4"/>
        <v/>
      </c>
    </row>
    <row r="15" spans="2:42">
      <c r="B15" s="25"/>
      <c r="C15" s="26" t="s">
        <v>44</v>
      </c>
      <c r="D15" s="25" t="s">
        <v>25</v>
      </c>
      <c r="E15" s="52">
        <v>44878</v>
      </c>
      <c r="F15" s="27">
        <v>44877</v>
      </c>
      <c r="G15" s="28">
        <v>44878</v>
      </c>
      <c r="H15" s="27">
        <v>44877</v>
      </c>
      <c r="I15" s="28"/>
      <c r="J15" s="25" t="str">
        <f t="shared" ca="1" si="5"/>
        <v>実施中(期日超過)</v>
      </c>
      <c r="K15" s="29">
        <v>0.8</v>
      </c>
      <c r="L15" s="30" t="str">
        <f t="shared" ca="1" si="6"/>
        <v>＞</v>
      </c>
      <c r="M15" s="31" t="str">
        <f t="shared" si="3"/>
        <v>◆</v>
      </c>
      <c r="N15" s="31" t="str">
        <f t="shared" ca="1" si="3"/>
        <v>≫</v>
      </c>
      <c r="O15" s="31" t="str">
        <f t="shared" ca="1" si="3"/>
        <v>≫</v>
      </c>
      <c r="P15" s="31" t="str">
        <f t="shared" ca="1" si="3"/>
        <v>≫</v>
      </c>
      <c r="Q15" s="31" t="str">
        <f t="shared" ca="1" si="3"/>
        <v>≫</v>
      </c>
      <c r="R15" s="31" t="str">
        <f t="shared" ca="1" si="3"/>
        <v>≫</v>
      </c>
      <c r="S15" s="31" t="str">
        <f t="shared" ca="1" si="3"/>
        <v>≫</v>
      </c>
      <c r="T15" s="31" t="str">
        <f t="shared" ca="1" si="3"/>
        <v>≫</v>
      </c>
      <c r="U15" s="31" t="str">
        <f t="shared" ca="1" si="3"/>
        <v>≫</v>
      </c>
      <c r="V15" s="31" t="str">
        <f t="shared" ca="1" si="3"/>
        <v>≫</v>
      </c>
      <c r="W15" s="31" t="str">
        <f t="shared" ca="1" si="3"/>
        <v>≫</v>
      </c>
      <c r="X15" s="31" t="str">
        <f t="shared" ca="1" si="3"/>
        <v>≫</v>
      </c>
      <c r="Y15" s="31" t="str">
        <f t="shared" ca="1" si="3"/>
        <v>≫</v>
      </c>
      <c r="Z15" s="31" t="str">
        <f t="shared" ca="1" si="3"/>
        <v>≫</v>
      </c>
      <c r="AA15" s="31" t="str">
        <f t="shared" ca="1" si="3"/>
        <v>≫</v>
      </c>
      <c r="AB15" s="31" t="str">
        <f t="shared" ca="1" si="3"/>
        <v/>
      </c>
      <c r="AC15" s="31" t="str">
        <f t="shared" ca="1" si="4"/>
        <v/>
      </c>
      <c r="AD15" s="31" t="str">
        <f t="shared" ca="1" si="4"/>
        <v/>
      </c>
      <c r="AE15" s="31" t="str">
        <f t="shared" ca="1" si="4"/>
        <v/>
      </c>
      <c r="AF15" s="31" t="str">
        <f t="shared" ca="1" si="4"/>
        <v/>
      </c>
      <c r="AG15" s="31" t="str">
        <f t="shared" ca="1" si="4"/>
        <v/>
      </c>
      <c r="AH15" s="31" t="str">
        <f t="shared" ca="1" si="4"/>
        <v/>
      </c>
      <c r="AI15" s="31" t="str">
        <f t="shared" ca="1" si="4"/>
        <v/>
      </c>
      <c r="AJ15" s="31" t="str">
        <f t="shared" ca="1" si="4"/>
        <v/>
      </c>
      <c r="AK15" s="31" t="str">
        <f t="shared" ca="1" si="4"/>
        <v/>
      </c>
      <c r="AL15" s="31" t="str">
        <f t="shared" ca="1" si="4"/>
        <v/>
      </c>
      <c r="AM15" s="31" t="str">
        <f t="shared" ca="1" si="4"/>
        <v/>
      </c>
      <c r="AN15" s="31" t="str">
        <f t="shared" ca="1" si="4"/>
        <v/>
      </c>
      <c r="AO15" s="31" t="str">
        <f t="shared" ca="1" si="4"/>
        <v/>
      </c>
      <c r="AP15" s="32" t="str">
        <f t="shared" ca="1" si="4"/>
        <v/>
      </c>
    </row>
    <row r="16" spans="2:42">
      <c r="B16" s="25"/>
      <c r="C16" s="51" t="s">
        <v>45</v>
      </c>
      <c r="D16" s="25" t="s">
        <v>25</v>
      </c>
      <c r="E16" s="52">
        <v>44880</v>
      </c>
      <c r="F16" s="27">
        <v>44879</v>
      </c>
      <c r="G16" s="28">
        <v>44880</v>
      </c>
      <c r="H16" s="27">
        <v>44879</v>
      </c>
      <c r="I16" s="28">
        <v>44883</v>
      </c>
      <c r="J16" s="25" t="str">
        <f t="shared" si="5"/>
        <v>完了</v>
      </c>
      <c r="K16" s="29">
        <v>1</v>
      </c>
      <c r="L16" s="30" t="str">
        <f t="shared" ca="1" si="6"/>
        <v/>
      </c>
      <c r="M16" s="31" t="str">
        <f t="shared" ca="1" si="3"/>
        <v/>
      </c>
      <c r="N16" s="31" t="str">
        <f t="shared" ca="1" si="3"/>
        <v>＞</v>
      </c>
      <c r="O16" s="31" t="str">
        <f t="shared" si="3"/>
        <v>◆</v>
      </c>
      <c r="P16" s="31" t="str">
        <f t="shared" ca="1" si="3"/>
        <v>≫</v>
      </c>
      <c r="Q16" s="31" t="str">
        <f t="shared" ca="1" si="3"/>
        <v>≫</v>
      </c>
      <c r="R16" s="31" t="str">
        <f t="shared" ca="1" si="3"/>
        <v>≫</v>
      </c>
      <c r="S16" s="31" t="str">
        <f t="shared" ca="1" si="3"/>
        <v/>
      </c>
      <c r="T16" s="31" t="str">
        <f t="shared" ca="1" si="3"/>
        <v/>
      </c>
      <c r="U16" s="31" t="str">
        <f t="shared" ca="1" si="3"/>
        <v/>
      </c>
      <c r="V16" s="31" t="str">
        <f t="shared" ca="1" si="3"/>
        <v/>
      </c>
      <c r="W16" s="31" t="str">
        <f t="shared" ca="1" si="3"/>
        <v/>
      </c>
      <c r="X16" s="31" t="str">
        <f t="shared" ca="1" si="3"/>
        <v/>
      </c>
      <c r="Y16" s="31" t="str">
        <f t="shared" ca="1" si="3"/>
        <v/>
      </c>
      <c r="Z16" s="31" t="str">
        <f t="shared" ca="1" si="3"/>
        <v/>
      </c>
      <c r="AA16" s="31" t="str">
        <f t="shared" ca="1" si="3"/>
        <v/>
      </c>
      <c r="AB16" s="31" t="str">
        <f t="shared" ca="1" si="3"/>
        <v/>
      </c>
      <c r="AC16" s="31" t="str">
        <f t="shared" ca="1" si="4"/>
        <v/>
      </c>
      <c r="AD16" s="31" t="str">
        <f t="shared" ca="1" si="4"/>
        <v/>
      </c>
      <c r="AE16" s="31" t="str">
        <f t="shared" ca="1" si="4"/>
        <v/>
      </c>
      <c r="AF16" s="31" t="str">
        <f t="shared" ca="1" si="4"/>
        <v/>
      </c>
      <c r="AG16" s="31" t="str">
        <f t="shared" ca="1" si="4"/>
        <v/>
      </c>
      <c r="AH16" s="31" t="str">
        <f t="shared" ca="1" si="4"/>
        <v/>
      </c>
      <c r="AI16" s="31" t="str">
        <f t="shared" ca="1" si="4"/>
        <v/>
      </c>
      <c r="AJ16" s="31" t="str">
        <f t="shared" ca="1" si="4"/>
        <v/>
      </c>
      <c r="AK16" s="31" t="str">
        <f t="shared" ca="1" si="4"/>
        <v/>
      </c>
      <c r="AL16" s="31" t="str">
        <f t="shared" ca="1" si="4"/>
        <v/>
      </c>
      <c r="AM16" s="31" t="str">
        <f t="shared" ca="1" si="4"/>
        <v/>
      </c>
      <c r="AN16" s="31" t="str">
        <f t="shared" ca="1" si="4"/>
        <v/>
      </c>
      <c r="AO16" s="31" t="str">
        <f t="shared" ca="1" si="4"/>
        <v/>
      </c>
      <c r="AP16" s="32" t="str">
        <f t="shared" ca="1" si="4"/>
        <v/>
      </c>
    </row>
    <row r="17" spans="2:42">
      <c r="B17" s="25"/>
      <c r="C17" s="51" t="s">
        <v>46</v>
      </c>
      <c r="D17" s="25" t="s">
        <v>25</v>
      </c>
      <c r="E17" s="52">
        <v>44882</v>
      </c>
      <c r="F17" s="27">
        <v>44881</v>
      </c>
      <c r="G17" s="28">
        <v>44882</v>
      </c>
      <c r="H17" s="27">
        <v>44883</v>
      </c>
      <c r="I17" s="28">
        <v>44889</v>
      </c>
      <c r="J17" s="25" t="str">
        <f t="shared" si="5"/>
        <v>完了</v>
      </c>
      <c r="K17" s="29">
        <v>1</v>
      </c>
      <c r="L17" s="30" t="str">
        <f t="shared" ca="1" si="6"/>
        <v/>
      </c>
      <c r="M17" s="31" t="str">
        <f t="shared" ca="1" si="3"/>
        <v/>
      </c>
      <c r="N17" s="31" t="str">
        <f t="shared" ca="1" si="3"/>
        <v/>
      </c>
      <c r="O17" s="31" t="str">
        <f t="shared" ca="1" si="3"/>
        <v/>
      </c>
      <c r="P17" s="31" t="str">
        <f t="shared" ca="1" si="3"/>
        <v/>
      </c>
      <c r="Q17" s="31" t="str">
        <f t="shared" si="3"/>
        <v>◆</v>
      </c>
      <c r="R17" s="31" t="str">
        <f t="shared" ca="1" si="3"/>
        <v>≫</v>
      </c>
      <c r="S17" s="31" t="str">
        <f t="shared" ca="1" si="3"/>
        <v>≫</v>
      </c>
      <c r="T17" s="31" t="str">
        <f t="shared" ca="1" si="3"/>
        <v>≫</v>
      </c>
      <c r="U17" s="31" t="str">
        <f t="shared" ca="1" si="3"/>
        <v>≫</v>
      </c>
      <c r="V17" s="31" t="str">
        <f t="shared" ca="1" si="3"/>
        <v>≫</v>
      </c>
      <c r="W17" s="31" t="str">
        <f t="shared" ca="1" si="3"/>
        <v>≫</v>
      </c>
      <c r="X17" s="31" t="str">
        <f t="shared" ca="1" si="3"/>
        <v>≫</v>
      </c>
      <c r="Y17" s="31" t="str">
        <f t="shared" ca="1" si="3"/>
        <v/>
      </c>
      <c r="Z17" s="31" t="str">
        <f t="shared" ca="1" si="3"/>
        <v/>
      </c>
      <c r="AA17" s="31" t="str">
        <f t="shared" ca="1" si="3"/>
        <v/>
      </c>
      <c r="AB17" s="31" t="str">
        <f t="shared" ref="AB17:AB18" ca="1" si="7">IF(AB$5=$E17,
     "◆",
     IF(AND($H17&lt;&gt;"",$H17&lt;=AB$5,OR($I17="",AB$5&lt;=$I17),AB$5&lt;=$G$2),
          IF(AB$5&lt;$E17,
               "＞",
               "≫"
          ),
          ""
     )
)</f>
        <v/>
      </c>
      <c r="AC17" s="31" t="str">
        <f t="shared" ca="1" si="4"/>
        <v/>
      </c>
      <c r="AD17" s="31" t="str">
        <f t="shared" ca="1" si="4"/>
        <v/>
      </c>
      <c r="AE17" s="31" t="str">
        <f t="shared" ca="1" si="4"/>
        <v/>
      </c>
      <c r="AF17" s="31" t="str">
        <f t="shared" ca="1" si="4"/>
        <v/>
      </c>
      <c r="AG17" s="31" t="str">
        <f t="shared" ca="1" si="4"/>
        <v/>
      </c>
      <c r="AH17" s="31" t="str">
        <f t="shared" ca="1" si="4"/>
        <v/>
      </c>
      <c r="AI17" s="31" t="str">
        <f t="shared" ca="1" si="4"/>
        <v/>
      </c>
      <c r="AJ17" s="31" t="str">
        <f t="shared" ca="1" si="4"/>
        <v/>
      </c>
      <c r="AK17" s="31" t="str">
        <f t="shared" ca="1" si="4"/>
        <v/>
      </c>
      <c r="AL17" s="31" t="str">
        <f t="shared" ca="1" si="4"/>
        <v/>
      </c>
      <c r="AM17" s="31" t="str">
        <f t="shared" ca="1" si="4"/>
        <v/>
      </c>
      <c r="AN17" s="31" t="str">
        <f t="shared" ca="1" si="4"/>
        <v/>
      </c>
      <c r="AO17" s="31" t="str">
        <f t="shared" ca="1" si="4"/>
        <v/>
      </c>
      <c r="AP17" s="32" t="str">
        <f t="shared" ca="1" si="4"/>
        <v/>
      </c>
    </row>
    <row r="18" spans="2:42">
      <c r="B18" s="25"/>
      <c r="C18" s="51" t="s">
        <v>47</v>
      </c>
      <c r="D18" s="25" t="s">
        <v>25</v>
      </c>
      <c r="E18" s="52">
        <v>44885</v>
      </c>
      <c r="F18" s="27">
        <v>44889</v>
      </c>
      <c r="G18" s="28">
        <v>44892</v>
      </c>
      <c r="H18" s="28">
        <v>44889</v>
      </c>
      <c r="I18" s="28">
        <v>44892</v>
      </c>
      <c r="J18" s="25" t="str">
        <f t="shared" si="5"/>
        <v>完了</v>
      </c>
      <c r="K18" s="29">
        <v>1</v>
      </c>
      <c r="L18" s="30" t="str">
        <f t="shared" ca="1" si="6"/>
        <v/>
      </c>
      <c r="M18" s="31" t="str">
        <f t="shared" ca="1" si="6"/>
        <v/>
      </c>
      <c r="N18" s="31" t="str">
        <f t="shared" ca="1" si="6"/>
        <v/>
      </c>
      <c r="O18" s="31" t="str">
        <f t="shared" ca="1" si="6"/>
        <v/>
      </c>
      <c r="P18" s="31" t="str">
        <f t="shared" ca="1" si="6"/>
        <v/>
      </c>
      <c r="Q18" s="31" t="str">
        <f t="shared" ca="1" si="6"/>
        <v/>
      </c>
      <c r="R18" s="31" t="str">
        <f t="shared" ca="1" si="6"/>
        <v/>
      </c>
      <c r="S18" s="31" t="str">
        <f t="shared" ca="1" si="6"/>
        <v/>
      </c>
      <c r="T18" s="31" t="str">
        <f t="shared" si="6"/>
        <v>◆</v>
      </c>
      <c r="U18" s="31" t="str">
        <f t="shared" ca="1" si="6"/>
        <v/>
      </c>
      <c r="V18" s="31" t="str">
        <f t="shared" ca="1" si="6"/>
        <v/>
      </c>
      <c r="W18" s="31" t="str">
        <f t="shared" ca="1" si="6"/>
        <v/>
      </c>
      <c r="X18" s="31" t="str">
        <f t="shared" ca="1" si="6"/>
        <v>≫</v>
      </c>
      <c r="Y18" s="31" t="str">
        <f t="shared" ca="1" si="6"/>
        <v>≫</v>
      </c>
      <c r="Z18" s="31" t="str">
        <f t="shared" ca="1" si="6"/>
        <v>≫</v>
      </c>
      <c r="AA18" s="31" t="str">
        <f t="shared" ca="1" si="6"/>
        <v>≫</v>
      </c>
      <c r="AB18" s="31" t="str">
        <f t="shared" ca="1" si="7"/>
        <v/>
      </c>
      <c r="AC18" s="31" t="str">
        <f t="shared" ca="1" si="4"/>
        <v/>
      </c>
      <c r="AD18" s="31" t="str">
        <f t="shared" ca="1" si="4"/>
        <v/>
      </c>
      <c r="AE18" s="31" t="str">
        <f t="shared" ca="1" si="4"/>
        <v/>
      </c>
      <c r="AF18" s="31" t="str">
        <f t="shared" ca="1" si="4"/>
        <v/>
      </c>
      <c r="AG18" s="31" t="str">
        <f t="shared" ca="1" si="4"/>
        <v/>
      </c>
      <c r="AH18" s="31" t="str">
        <f t="shared" ca="1" si="4"/>
        <v/>
      </c>
      <c r="AI18" s="31" t="str">
        <f t="shared" ca="1" si="4"/>
        <v/>
      </c>
      <c r="AJ18" s="31" t="str">
        <f t="shared" ca="1" si="4"/>
        <v/>
      </c>
      <c r="AK18" s="31" t="str">
        <f t="shared" ca="1" si="4"/>
        <v/>
      </c>
      <c r="AL18" s="31" t="str">
        <f t="shared" ca="1" si="4"/>
        <v/>
      </c>
      <c r="AM18" s="31" t="str">
        <f t="shared" ca="1" si="4"/>
        <v/>
      </c>
      <c r="AN18" s="31" t="str">
        <f t="shared" ca="1" si="4"/>
        <v/>
      </c>
      <c r="AO18" s="31" t="str">
        <f t="shared" ca="1" si="4"/>
        <v/>
      </c>
      <c r="AP18" s="32" t="str">
        <f t="shared" ca="1" si="4"/>
        <v/>
      </c>
    </row>
    <row r="19" spans="2:42">
      <c r="B19" s="25"/>
      <c r="C19" s="26" t="s">
        <v>48</v>
      </c>
      <c r="D19" s="25" t="s">
        <v>25</v>
      </c>
      <c r="E19" s="52">
        <v>44895</v>
      </c>
      <c r="F19" s="27">
        <v>44892</v>
      </c>
      <c r="G19" s="28">
        <v>44902</v>
      </c>
      <c r="H19" s="27"/>
      <c r="I19" s="28"/>
      <c r="J19" s="25" t="str">
        <f t="shared" ca="1" si="5"/>
        <v>未着手</v>
      </c>
      <c r="K19" s="29">
        <v>0</v>
      </c>
      <c r="L19" s="30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2"/>
    </row>
    <row r="20" spans="2:42">
      <c r="B20" s="25" t="s">
        <v>42</v>
      </c>
      <c r="C20" s="26" t="s">
        <v>37</v>
      </c>
      <c r="D20" s="25" t="s">
        <v>25</v>
      </c>
      <c r="E20" s="28">
        <v>44897</v>
      </c>
      <c r="F20" s="27">
        <v>44896</v>
      </c>
      <c r="G20" s="28">
        <v>44897</v>
      </c>
      <c r="H20" s="27"/>
      <c r="I20" s="28"/>
      <c r="J20" s="25" t="str">
        <f t="shared" ca="1" si="5"/>
        <v>未着手</v>
      </c>
      <c r="K20" s="29">
        <v>0</v>
      </c>
      <c r="L20" s="30" t="str">
        <f t="shared" ca="1" si="6"/>
        <v/>
      </c>
      <c r="M20" s="31" t="str">
        <f t="shared" ca="1" si="3"/>
        <v/>
      </c>
      <c r="N20" s="31" t="str">
        <f t="shared" ca="1" si="3"/>
        <v/>
      </c>
      <c r="O20" s="31" t="str">
        <f t="shared" ca="1" si="3"/>
        <v/>
      </c>
      <c r="P20" s="31" t="str">
        <f t="shared" ca="1" si="3"/>
        <v/>
      </c>
      <c r="Q20" s="31" t="str">
        <f t="shared" ca="1" si="3"/>
        <v/>
      </c>
      <c r="R20" s="31" t="str">
        <f t="shared" ca="1" si="3"/>
        <v/>
      </c>
      <c r="S20" s="31" t="str">
        <f t="shared" ca="1" si="3"/>
        <v/>
      </c>
      <c r="T20" s="31" t="str">
        <f t="shared" ca="1" si="3"/>
        <v/>
      </c>
      <c r="U20" s="31" t="str">
        <f t="shared" ca="1" si="3"/>
        <v/>
      </c>
      <c r="V20" s="31" t="str">
        <f t="shared" ca="1" si="3"/>
        <v/>
      </c>
      <c r="W20" s="31" t="str">
        <f t="shared" ca="1" si="3"/>
        <v/>
      </c>
      <c r="X20" s="31" t="str">
        <f t="shared" ca="1" si="3"/>
        <v/>
      </c>
      <c r="Y20" s="31" t="str">
        <f t="shared" ca="1" si="3"/>
        <v/>
      </c>
      <c r="Z20" s="31" t="str">
        <f t="shared" ca="1" si="3"/>
        <v/>
      </c>
      <c r="AA20" s="31" t="str">
        <f t="shared" ca="1" si="3"/>
        <v/>
      </c>
      <c r="AB20" s="31" t="str">
        <f t="shared" ca="1" si="3"/>
        <v/>
      </c>
      <c r="AC20" s="31" t="str">
        <f t="shared" ca="1" si="4"/>
        <v/>
      </c>
      <c r="AD20" s="31" t="str">
        <f t="shared" ca="1" si="4"/>
        <v/>
      </c>
      <c r="AE20" s="31" t="str">
        <f t="shared" ca="1" si="4"/>
        <v/>
      </c>
      <c r="AF20" s="31" t="str">
        <f t="shared" si="4"/>
        <v>◆</v>
      </c>
      <c r="AG20" s="31" t="str">
        <f t="shared" ca="1" si="4"/>
        <v/>
      </c>
      <c r="AH20" s="31" t="str">
        <f t="shared" ca="1" si="4"/>
        <v/>
      </c>
      <c r="AI20" s="31" t="str">
        <f t="shared" ca="1" si="4"/>
        <v/>
      </c>
      <c r="AJ20" s="31" t="str">
        <f t="shared" ca="1" si="4"/>
        <v/>
      </c>
      <c r="AK20" s="31" t="str">
        <f t="shared" ca="1" si="4"/>
        <v/>
      </c>
      <c r="AL20" s="31" t="str">
        <f t="shared" ca="1" si="4"/>
        <v/>
      </c>
      <c r="AM20" s="31" t="str">
        <f t="shared" ca="1" si="4"/>
        <v/>
      </c>
      <c r="AN20" s="31" t="str">
        <f t="shared" ca="1" si="4"/>
        <v/>
      </c>
      <c r="AO20" s="31" t="str">
        <f t="shared" ca="1" si="4"/>
        <v/>
      </c>
      <c r="AP20" s="32" t="str">
        <f t="shared" ca="1" si="4"/>
        <v/>
      </c>
    </row>
    <row r="21" spans="2:42">
      <c r="B21" s="25"/>
      <c r="C21" s="26" t="s">
        <v>38</v>
      </c>
      <c r="D21" s="25" t="s">
        <v>25</v>
      </c>
      <c r="E21" s="28">
        <v>44904</v>
      </c>
      <c r="F21" s="27">
        <v>44900</v>
      </c>
      <c r="G21" s="28">
        <v>44904</v>
      </c>
      <c r="H21" s="27"/>
      <c r="I21" s="28"/>
      <c r="J21" s="25" t="str">
        <f t="shared" ca="1" si="5"/>
        <v>未着手</v>
      </c>
      <c r="K21" s="29">
        <v>0</v>
      </c>
      <c r="L21" s="30" t="str">
        <f t="shared" ca="1" si="6"/>
        <v/>
      </c>
      <c r="M21" s="31" t="str">
        <f t="shared" ca="1" si="3"/>
        <v/>
      </c>
      <c r="N21" s="31" t="str">
        <f t="shared" ca="1" si="3"/>
        <v/>
      </c>
      <c r="O21" s="31" t="str">
        <f t="shared" ca="1" si="3"/>
        <v/>
      </c>
      <c r="P21" s="31" t="str">
        <f t="shared" ca="1" si="3"/>
        <v/>
      </c>
      <c r="Q21" s="31" t="str">
        <f t="shared" ca="1" si="3"/>
        <v/>
      </c>
      <c r="R21" s="31" t="str">
        <f t="shared" ca="1" si="3"/>
        <v/>
      </c>
      <c r="S21" s="31" t="str">
        <f t="shared" ca="1" si="3"/>
        <v/>
      </c>
      <c r="T21" s="31" t="str">
        <f t="shared" ca="1" si="3"/>
        <v/>
      </c>
      <c r="U21" s="31" t="str">
        <f t="shared" ca="1" si="3"/>
        <v/>
      </c>
      <c r="V21" s="31" t="str">
        <f t="shared" ca="1" si="3"/>
        <v/>
      </c>
      <c r="W21" s="31" t="str">
        <f t="shared" ca="1" si="3"/>
        <v/>
      </c>
      <c r="X21" s="31" t="str">
        <f t="shared" ca="1" si="3"/>
        <v/>
      </c>
      <c r="Y21" s="31" t="str">
        <f t="shared" ca="1" si="3"/>
        <v/>
      </c>
      <c r="Z21" s="31" t="str">
        <f t="shared" ca="1" si="3"/>
        <v/>
      </c>
      <c r="AA21" s="31" t="str">
        <f t="shared" ca="1" si="3"/>
        <v/>
      </c>
      <c r="AB21" s="31" t="str">
        <f t="shared" ca="1" si="3"/>
        <v/>
      </c>
      <c r="AC21" s="31" t="str">
        <f t="shared" ca="1" si="4"/>
        <v/>
      </c>
      <c r="AD21" s="31" t="str">
        <f t="shared" ca="1" si="4"/>
        <v/>
      </c>
      <c r="AE21" s="31" t="str">
        <f t="shared" ca="1" si="4"/>
        <v/>
      </c>
      <c r="AF21" s="31" t="str">
        <f t="shared" ca="1" si="4"/>
        <v/>
      </c>
      <c r="AG21" s="31" t="str">
        <f t="shared" ca="1" si="4"/>
        <v/>
      </c>
      <c r="AH21" s="31" t="str">
        <f t="shared" ca="1" si="4"/>
        <v/>
      </c>
      <c r="AI21" s="31" t="str">
        <f t="shared" ca="1" si="4"/>
        <v/>
      </c>
      <c r="AJ21" s="31" t="str">
        <f t="shared" ca="1" si="4"/>
        <v/>
      </c>
      <c r="AK21" s="31" t="str">
        <f t="shared" ca="1" si="4"/>
        <v/>
      </c>
      <c r="AL21" s="31" t="str">
        <f t="shared" ca="1" si="4"/>
        <v/>
      </c>
      <c r="AM21" s="31" t="str">
        <f t="shared" si="4"/>
        <v>◆</v>
      </c>
      <c r="AN21" s="31" t="str">
        <f t="shared" ca="1" si="4"/>
        <v/>
      </c>
      <c r="AO21" s="31" t="str">
        <f t="shared" ca="1" si="4"/>
        <v/>
      </c>
      <c r="AP21" s="32" t="str">
        <f t="shared" ca="1" si="4"/>
        <v/>
      </c>
    </row>
    <row r="22" spans="2:42">
      <c r="B22" s="25" t="s">
        <v>43</v>
      </c>
      <c r="C22" s="26" t="s">
        <v>38</v>
      </c>
      <c r="D22" s="25" t="s">
        <v>25</v>
      </c>
      <c r="E22" s="27">
        <v>44905</v>
      </c>
      <c r="F22" s="27">
        <v>44905</v>
      </c>
      <c r="G22" s="28">
        <v>44905</v>
      </c>
      <c r="H22" s="27"/>
      <c r="I22" s="28"/>
      <c r="J22" s="25" t="str">
        <f t="shared" ca="1" si="5"/>
        <v>未着手</v>
      </c>
      <c r="K22" s="29">
        <v>0</v>
      </c>
      <c r="L22" s="30" t="str">
        <f t="shared" ca="1" si="6"/>
        <v/>
      </c>
      <c r="M22" s="31" t="str">
        <f t="shared" ca="1" si="3"/>
        <v/>
      </c>
      <c r="N22" s="31" t="str">
        <f t="shared" ca="1" si="3"/>
        <v/>
      </c>
      <c r="O22" s="31" t="str">
        <f t="shared" ca="1" si="3"/>
        <v/>
      </c>
      <c r="P22" s="31" t="str">
        <f t="shared" ca="1" si="3"/>
        <v/>
      </c>
      <c r="Q22" s="31" t="str">
        <f t="shared" ca="1" si="3"/>
        <v/>
      </c>
      <c r="R22" s="31" t="str">
        <f t="shared" ca="1" si="3"/>
        <v/>
      </c>
      <c r="S22" s="31" t="str">
        <f t="shared" ca="1" si="3"/>
        <v/>
      </c>
      <c r="T22" s="31" t="str">
        <f t="shared" ca="1" si="3"/>
        <v/>
      </c>
      <c r="U22" s="31" t="str">
        <f t="shared" ca="1" si="3"/>
        <v/>
      </c>
      <c r="V22" s="31" t="str">
        <f t="shared" ca="1" si="3"/>
        <v/>
      </c>
      <c r="W22" s="31" t="str">
        <f t="shared" ca="1" si="3"/>
        <v/>
      </c>
      <c r="X22" s="31" t="str">
        <f t="shared" ca="1" si="3"/>
        <v/>
      </c>
      <c r="Y22" s="31" t="str">
        <f t="shared" ca="1" si="3"/>
        <v/>
      </c>
      <c r="Z22" s="31" t="str">
        <f t="shared" ca="1" si="3"/>
        <v/>
      </c>
      <c r="AA22" s="31" t="str">
        <f t="shared" ca="1" si="3"/>
        <v/>
      </c>
      <c r="AB22" s="31" t="str">
        <f t="shared" ca="1" si="3"/>
        <v/>
      </c>
      <c r="AC22" s="31" t="str">
        <f t="shared" ca="1" si="4"/>
        <v/>
      </c>
      <c r="AD22" s="31" t="str">
        <f t="shared" ca="1" si="4"/>
        <v/>
      </c>
      <c r="AE22" s="31" t="str">
        <f t="shared" ca="1" si="4"/>
        <v/>
      </c>
      <c r="AF22" s="31" t="str">
        <f t="shared" ca="1" si="4"/>
        <v/>
      </c>
      <c r="AG22" s="31" t="str">
        <f t="shared" ca="1" si="4"/>
        <v/>
      </c>
      <c r="AH22" s="31" t="str">
        <f t="shared" ca="1" si="4"/>
        <v/>
      </c>
      <c r="AI22" s="31" t="str">
        <f t="shared" ca="1" si="4"/>
        <v/>
      </c>
      <c r="AJ22" s="31" t="str">
        <f t="shared" ca="1" si="4"/>
        <v/>
      </c>
      <c r="AK22" s="31" t="str">
        <f t="shared" ca="1" si="4"/>
        <v/>
      </c>
      <c r="AL22" s="31" t="str">
        <f t="shared" ca="1" si="4"/>
        <v/>
      </c>
      <c r="AM22" s="31" t="str">
        <f t="shared" ca="1" si="4"/>
        <v/>
      </c>
      <c r="AN22" s="31" t="str">
        <f t="shared" si="4"/>
        <v>◆</v>
      </c>
      <c r="AO22" s="31" t="str">
        <f t="shared" ca="1" si="4"/>
        <v/>
      </c>
      <c r="AP22" s="32" t="str">
        <f t="shared" ca="1" si="4"/>
        <v/>
      </c>
    </row>
    <row r="23" spans="2:42">
      <c r="B23" s="25"/>
      <c r="C23" s="25"/>
      <c r="D23" s="25"/>
      <c r="E23" s="4"/>
      <c r="F23" s="27"/>
      <c r="G23" s="28"/>
      <c r="H23" s="27"/>
      <c r="I23" s="28"/>
      <c r="J23" s="25" t="str">
        <f t="shared" si="5"/>
        <v>－</v>
      </c>
      <c r="K23" s="29">
        <v>0</v>
      </c>
      <c r="L23" s="30" t="str">
        <f t="shared" ca="1" si="6"/>
        <v/>
      </c>
      <c r="M23" s="31" t="str">
        <f t="shared" ca="1" si="3"/>
        <v/>
      </c>
      <c r="N23" s="31" t="str">
        <f t="shared" ca="1" si="3"/>
        <v/>
      </c>
      <c r="O23" s="31" t="str">
        <f t="shared" ca="1" si="3"/>
        <v/>
      </c>
      <c r="P23" s="31" t="str">
        <f t="shared" ca="1" si="3"/>
        <v/>
      </c>
      <c r="Q23" s="31" t="str">
        <f t="shared" ca="1" si="3"/>
        <v/>
      </c>
      <c r="R23" s="31" t="str">
        <f t="shared" ca="1" si="3"/>
        <v/>
      </c>
      <c r="S23" s="31" t="str">
        <f t="shared" ca="1" si="3"/>
        <v/>
      </c>
      <c r="T23" s="31" t="str">
        <f t="shared" ca="1" si="3"/>
        <v/>
      </c>
      <c r="U23" s="31" t="str">
        <f t="shared" ca="1" si="3"/>
        <v/>
      </c>
      <c r="V23" s="31" t="str">
        <f t="shared" ca="1" si="3"/>
        <v/>
      </c>
      <c r="W23" s="31" t="str">
        <f t="shared" ca="1" si="3"/>
        <v/>
      </c>
      <c r="X23" s="31" t="str">
        <f t="shared" ca="1" si="3"/>
        <v/>
      </c>
      <c r="Y23" s="31" t="str">
        <f t="shared" ca="1" si="3"/>
        <v/>
      </c>
      <c r="Z23" s="31" t="str">
        <f t="shared" ca="1" si="3"/>
        <v/>
      </c>
      <c r="AA23" s="31" t="str">
        <f t="shared" ca="1" si="3"/>
        <v/>
      </c>
      <c r="AB23" s="31" t="str">
        <f t="shared" ca="1" si="3"/>
        <v/>
      </c>
      <c r="AC23" s="31" t="str">
        <f t="shared" ca="1" si="4"/>
        <v/>
      </c>
      <c r="AD23" s="31" t="str">
        <f t="shared" ca="1" si="4"/>
        <v/>
      </c>
      <c r="AE23" s="31" t="str">
        <f t="shared" ca="1" si="4"/>
        <v/>
      </c>
      <c r="AF23" s="31" t="str">
        <f t="shared" ca="1" si="4"/>
        <v/>
      </c>
      <c r="AG23" s="31" t="str">
        <f t="shared" ca="1" si="4"/>
        <v/>
      </c>
      <c r="AH23" s="31" t="str">
        <f t="shared" ca="1" si="4"/>
        <v/>
      </c>
      <c r="AI23" s="31" t="str">
        <f t="shared" ca="1" si="4"/>
        <v/>
      </c>
      <c r="AJ23" s="31" t="str">
        <f t="shared" ca="1" si="4"/>
        <v/>
      </c>
      <c r="AK23" s="31" t="str">
        <f t="shared" ca="1" si="4"/>
        <v/>
      </c>
      <c r="AL23" s="31" t="str">
        <f t="shared" ca="1" si="4"/>
        <v/>
      </c>
      <c r="AM23" s="31" t="str">
        <f t="shared" ca="1" si="4"/>
        <v/>
      </c>
      <c r="AN23" s="31" t="str">
        <f t="shared" ca="1" si="4"/>
        <v/>
      </c>
      <c r="AO23" s="31" t="str">
        <f t="shared" ca="1" si="4"/>
        <v/>
      </c>
      <c r="AP23" s="32" t="str">
        <f t="shared" ca="1" si="4"/>
        <v/>
      </c>
    </row>
    <row r="24" spans="2:42">
      <c r="B24" s="25"/>
      <c r="C24" s="25"/>
      <c r="D24" s="25"/>
      <c r="E24" s="4"/>
      <c r="F24" s="27"/>
      <c r="G24" s="28"/>
      <c r="H24" s="27"/>
      <c r="I24" s="28"/>
      <c r="J24" s="25" t="str">
        <f t="shared" si="5"/>
        <v>－</v>
      </c>
      <c r="K24" s="29">
        <v>0</v>
      </c>
      <c r="L24" s="30" t="str">
        <f t="shared" ca="1" si="6"/>
        <v/>
      </c>
      <c r="M24" s="31" t="str">
        <f t="shared" ca="1" si="3"/>
        <v/>
      </c>
      <c r="N24" s="31" t="str">
        <f t="shared" ca="1" si="3"/>
        <v/>
      </c>
      <c r="O24" s="31" t="str">
        <f t="shared" ca="1" si="3"/>
        <v/>
      </c>
      <c r="P24" s="31" t="str">
        <f t="shared" ca="1" si="3"/>
        <v/>
      </c>
      <c r="Q24" s="31" t="str">
        <f t="shared" ca="1" si="3"/>
        <v/>
      </c>
      <c r="R24" s="31" t="str">
        <f t="shared" ca="1" si="3"/>
        <v/>
      </c>
      <c r="S24" s="31" t="str">
        <f t="shared" ca="1" si="3"/>
        <v/>
      </c>
      <c r="T24" s="31" t="str">
        <f t="shared" ca="1" si="3"/>
        <v/>
      </c>
      <c r="U24" s="31" t="str">
        <f t="shared" ca="1" si="3"/>
        <v/>
      </c>
      <c r="V24" s="31" t="str">
        <f t="shared" ca="1" si="3"/>
        <v/>
      </c>
      <c r="W24" s="31" t="str">
        <f t="shared" ca="1" si="3"/>
        <v/>
      </c>
      <c r="X24" s="31" t="str">
        <f t="shared" ca="1" si="3"/>
        <v/>
      </c>
      <c r="Y24" s="31" t="str">
        <f t="shared" ca="1" si="3"/>
        <v/>
      </c>
      <c r="Z24" s="31" t="str">
        <f t="shared" ca="1" si="3"/>
        <v/>
      </c>
      <c r="AA24" s="31" t="str">
        <f t="shared" ca="1" si="3"/>
        <v/>
      </c>
      <c r="AB24" s="31" t="str">
        <f t="shared" ca="1" si="3"/>
        <v/>
      </c>
      <c r="AC24" s="31" t="str">
        <f t="shared" ca="1" si="4"/>
        <v/>
      </c>
      <c r="AD24" s="31" t="str">
        <f t="shared" ca="1" si="4"/>
        <v/>
      </c>
      <c r="AE24" s="31" t="str">
        <f t="shared" ca="1" si="4"/>
        <v/>
      </c>
      <c r="AF24" s="31" t="str">
        <f t="shared" ca="1" si="4"/>
        <v/>
      </c>
      <c r="AG24" s="31" t="str">
        <f t="shared" ca="1" si="4"/>
        <v/>
      </c>
      <c r="AH24" s="31" t="str">
        <f t="shared" ca="1" si="4"/>
        <v/>
      </c>
      <c r="AI24" s="31" t="str">
        <f t="shared" ca="1" si="4"/>
        <v/>
      </c>
      <c r="AJ24" s="31" t="str">
        <f t="shared" ca="1" si="4"/>
        <v/>
      </c>
      <c r="AK24" s="31" t="str">
        <f t="shared" ca="1" si="4"/>
        <v/>
      </c>
      <c r="AL24" s="31" t="str">
        <f t="shared" ca="1" si="4"/>
        <v/>
      </c>
      <c r="AM24" s="31" t="str">
        <f t="shared" ca="1" si="4"/>
        <v/>
      </c>
      <c r="AN24" s="31" t="str">
        <f t="shared" ca="1" si="4"/>
        <v/>
      </c>
      <c r="AO24" s="31" t="str">
        <f t="shared" ca="1" si="4"/>
        <v/>
      </c>
      <c r="AP24" s="32" t="str">
        <f t="shared" ca="1" si="4"/>
        <v/>
      </c>
    </row>
  </sheetData>
  <mergeCells count="3">
    <mergeCell ref="B2:D3"/>
    <mergeCell ref="F5:G5"/>
    <mergeCell ref="H5:I5"/>
  </mergeCells>
  <phoneticPr fontId="2"/>
  <conditionalFormatting sqref="L7:AP22">
    <cfRule type="expression" dxfId="24" priority="19">
      <formula>AND($F7&lt;&gt;"",$G7&lt;&gt;"",$F7&lt;=L$5,L$5&lt;=$G7)</formula>
    </cfRule>
    <cfRule type="cellIs" dxfId="23" priority="20" operator="equal">
      <formula>"≫"</formula>
    </cfRule>
  </conditionalFormatting>
  <conditionalFormatting sqref="L5:AP6">
    <cfRule type="cellIs" dxfId="22" priority="17" operator="equal">
      <formula>$G$2</formula>
    </cfRule>
  </conditionalFormatting>
  <conditionalFormatting sqref="J7:J24">
    <cfRule type="containsText" dxfId="21" priority="13" operator="containsText" text="期日超過">
      <formula>NOT(ISERROR(SEARCH("期日超過",J7)))</formula>
    </cfRule>
    <cfRule type="containsText" dxfId="20" priority="14" operator="containsText" text="遅延">
      <formula>NOT(ISERROR(SEARCH("遅延",J7)))</formula>
    </cfRule>
  </conditionalFormatting>
  <conditionalFormatting sqref="B24 B9:B21 C9:C11 B7:AP8 D24:E24 H22:AP22 H24:AP24 J23:AP23 J15:J24 D9:AP21">
    <cfRule type="expression" dxfId="19" priority="12">
      <formula>$J7="完了"</formula>
    </cfRule>
  </conditionalFormatting>
  <conditionalFormatting sqref="L4:AP24">
    <cfRule type="expression" dxfId="18" priority="16">
      <formula>L$4&lt;&gt;""</formula>
    </cfRule>
  </conditionalFormatting>
  <conditionalFormatting sqref="B23:D23 C24">
    <cfRule type="expression" dxfId="17" priority="22">
      <formula>$J22="完了"</formula>
    </cfRule>
  </conditionalFormatting>
  <conditionalFormatting sqref="B22">
    <cfRule type="expression" dxfId="16" priority="11">
      <formula>$J22="完了"</formula>
    </cfRule>
  </conditionalFormatting>
  <conditionalFormatting sqref="C12:C13 C20:C21">
    <cfRule type="expression" dxfId="15" priority="10">
      <formula>$J13="完了"</formula>
    </cfRule>
  </conditionalFormatting>
  <conditionalFormatting sqref="L24:AP24">
    <cfRule type="expression" dxfId="14" priority="25">
      <formula>AND($F23&lt;&gt;"",$G23&lt;&gt;"",$F23&lt;=L$5,L$5&lt;=$G23)</formula>
    </cfRule>
    <cfRule type="cellIs" dxfId="13" priority="26" operator="equal">
      <formula>"≫"</formula>
    </cfRule>
  </conditionalFormatting>
  <conditionalFormatting sqref="L23:AP23">
    <cfRule type="expression" dxfId="12" priority="27">
      <formula>AND(#REF!&lt;&gt;"",#REF!&lt;&gt;"",#REF!&lt;=L$5,L$5&lt;=#REF!)</formula>
    </cfRule>
    <cfRule type="cellIs" dxfId="11" priority="28" operator="equal">
      <formula>"≫"</formula>
    </cfRule>
  </conditionalFormatting>
  <conditionalFormatting sqref="F24:G24">
    <cfRule type="expression" dxfId="10" priority="9">
      <formula>$J24="完了"</formula>
    </cfRule>
  </conditionalFormatting>
  <conditionalFormatting sqref="C22">
    <cfRule type="expression" dxfId="9" priority="6">
      <formula>$J23="完了"</formula>
    </cfRule>
  </conditionalFormatting>
  <conditionalFormatting sqref="D22">
    <cfRule type="expression" dxfId="8" priority="7">
      <formula>$J22="完了"</formula>
    </cfRule>
  </conditionalFormatting>
  <conditionalFormatting sqref="E22">
    <cfRule type="expression" dxfId="7" priority="4">
      <formula>$J23="完了"</formula>
    </cfRule>
  </conditionalFormatting>
  <conditionalFormatting sqref="E23 H23:I23">
    <cfRule type="expression" dxfId="6" priority="3">
      <formula>$J23="完了"</formula>
    </cfRule>
  </conditionalFormatting>
  <conditionalFormatting sqref="F23:G23">
    <cfRule type="expression" dxfId="5" priority="2">
      <formula>$J23="完了"</formula>
    </cfRule>
  </conditionalFormatting>
  <conditionalFormatting sqref="F22:G22">
    <cfRule type="expression" dxfId="4" priority="1">
      <formula>$J22="完了"</formula>
    </cfRule>
  </conditionalFormatting>
  <conditionalFormatting sqref="C14:C19">
    <cfRule type="expression" dxfId="3" priority="31">
      <formula>$J20="完了"</formula>
    </cfRule>
  </conditionalFormatting>
  <pageMargins left="0.23622047244094491" right="0.23622047244094491" top="0.74803149606299213" bottom="0.74803149606299213" header="0.31496062992125984" footer="0.31496062992125984"/>
  <pageSetup paperSize="9" scale="5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前月へ戻る">
                <anchor>
                  <from>
                    <xdr:col>7</xdr:col>
                    <xdr:colOff>447675</xdr:colOff>
                    <xdr:row>1</xdr:row>
                    <xdr:rowOff>104775</xdr:rowOff>
                  </from>
                  <to>
                    <xdr:col>8</xdr:col>
                    <xdr:colOff>142875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一日戻る">
                <anchor>
                  <from>
                    <xdr:col>8</xdr:col>
                    <xdr:colOff>323850</xdr:colOff>
                    <xdr:row>1</xdr:row>
                    <xdr:rowOff>104775</xdr:rowOff>
                  </from>
                  <to>
                    <xdr:col>9</xdr:col>
                    <xdr:colOff>19050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本日表示">
                <anchor>
                  <from>
                    <xdr:col>9</xdr:col>
                    <xdr:colOff>209550</xdr:colOff>
                    <xdr:row>1</xdr:row>
                    <xdr:rowOff>104775</xdr:rowOff>
                  </from>
                  <to>
                    <xdr:col>9</xdr:col>
                    <xdr:colOff>457200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一日進む">
                <anchor>
                  <from>
                    <xdr:col>9</xdr:col>
                    <xdr:colOff>638175</xdr:colOff>
                    <xdr:row>1</xdr:row>
                    <xdr:rowOff>104775</xdr:rowOff>
                  </from>
                  <to>
                    <xdr:col>9</xdr:col>
                    <xdr:colOff>885825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翌月へ進む">
                <anchor>
                  <from>
                    <xdr:col>9</xdr:col>
                    <xdr:colOff>1066800</xdr:colOff>
                    <xdr:row>1</xdr:row>
                    <xdr:rowOff>104775</xdr:rowOff>
                  </from>
                  <to>
                    <xdr:col>10</xdr:col>
                    <xdr:colOff>28575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" id="{63F46492-53B3-40E0-99A9-7BF88218FE4E}">
            <xm:f>OR(WEEKDAY(L$5)=7,WEEKDAY(L$5)=1,COUNTIF(休日!$A:$A,L$5)&gt;0)</xm:f>
            <x14:dxf>
              <fill>
                <patternFill>
                  <bgColor theme="4" tint="0.59996337778862885"/>
                </patternFill>
              </fill>
            </x14:dxf>
          </x14:cfRule>
          <xm:sqref>L5:AP24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99"/>
  <sheetViews>
    <sheetView workbookViewId="0"/>
  </sheetViews>
  <sheetFormatPr defaultColWidth="8.75" defaultRowHeight="18.75"/>
  <cols>
    <col min="1" max="1" width="11.75" style="37" customWidth="1"/>
    <col min="2" max="2" width="20.25" style="35" bestFit="1" customWidth="1"/>
    <col min="3" max="16384" width="8.75" style="35"/>
  </cols>
  <sheetData>
    <row r="1" spans="1:2">
      <c r="A1" s="33" t="s">
        <v>17</v>
      </c>
      <c r="B1" s="34" t="s">
        <v>18</v>
      </c>
    </row>
    <row r="2" spans="1:2">
      <c r="A2" s="36"/>
    </row>
    <row r="3" spans="1:2">
      <c r="A3" s="36"/>
    </row>
    <row r="4" spans="1:2">
      <c r="A4" s="36"/>
    </row>
    <row r="5" spans="1:2">
      <c r="A5" s="36"/>
    </row>
    <row r="6" spans="1:2">
      <c r="A6" s="36"/>
    </row>
    <row r="7" spans="1:2">
      <c r="A7" s="36"/>
    </row>
    <row r="8" spans="1:2">
      <c r="A8" s="36"/>
    </row>
    <row r="9" spans="1:2">
      <c r="A9" s="36"/>
    </row>
    <row r="10" spans="1:2">
      <c r="A10" s="36"/>
    </row>
    <row r="11" spans="1:2">
      <c r="A11" s="36"/>
    </row>
    <row r="12" spans="1:2">
      <c r="A12" s="36"/>
    </row>
    <row r="13" spans="1:2">
      <c r="A13" s="36"/>
    </row>
    <row r="14" spans="1:2">
      <c r="A14" s="36"/>
    </row>
    <row r="15" spans="1:2">
      <c r="A15" s="36"/>
    </row>
    <row r="16" spans="1:2">
      <c r="A16" s="36"/>
    </row>
    <row r="17" spans="1:1">
      <c r="A17" s="36"/>
    </row>
    <row r="18" spans="1:1">
      <c r="A18" s="36"/>
    </row>
    <row r="19" spans="1:1">
      <c r="A19" s="36"/>
    </row>
    <row r="20" spans="1:1">
      <c r="A20" s="36"/>
    </row>
    <row r="21" spans="1:1">
      <c r="A21" s="36"/>
    </row>
    <row r="22" spans="1:1">
      <c r="A22" s="36"/>
    </row>
    <row r="23" spans="1:1">
      <c r="A23" s="36"/>
    </row>
    <row r="24" spans="1:1">
      <c r="A24" s="36"/>
    </row>
    <row r="25" spans="1:1">
      <c r="A25" s="36"/>
    </row>
    <row r="26" spans="1:1">
      <c r="A26" s="36"/>
    </row>
    <row r="27" spans="1:1">
      <c r="A27" s="36"/>
    </row>
    <row r="28" spans="1:1">
      <c r="A28" s="36"/>
    </row>
    <row r="29" spans="1:1">
      <c r="A29" s="36"/>
    </row>
    <row r="30" spans="1:1">
      <c r="A30" s="36"/>
    </row>
    <row r="31" spans="1:1">
      <c r="A31" s="36"/>
    </row>
    <row r="32" spans="1:1">
      <c r="A32" s="36"/>
    </row>
    <row r="33" spans="1:1">
      <c r="A33" s="36"/>
    </row>
    <row r="34" spans="1:1">
      <c r="A34" s="36"/>
    </row>
    <row r="35" spans="1:1">
      <c r="A35" s="36"/>
    </row>
    <row r="36" spans="1:1">
      <c r="A36" s="36"/>
    </row>
    <row r="37" spans="1:1">
      <c r="A37" s="36"/>
    </row>
    <row r="38" spans="1:1">
      <c r="A38" s="36"/>
    </row>
    <row r="39" spans="1:1">
      <c r="A39" s="36"/>
    </row>
    <row r="40" spans="1:1">
      <c r="A40" s="36"/>
    </row>
    <row r="41" spans="1:1">
      <c r="A41" s="36"/>
    </row>
    <row r="42" spans="1:1">
      <c r="A42" s="36"/>
    </row>
    <row r="43" spans="1:1">
      <c r="A43" s="36"/>
    </row>
    <row r="44" spans="1:1">
      <c r="A44" s="36"/>
    </row>
    <row r="45" spans="1:1">
      <c r="A45" s="36"/>
    </row>
    <row r="46" spans="1:1">
      <c r="A46" s="36"/>
    </row>
    <row r="47" spans="1:1">
      <c r="A47" s="36"/>
    </row>
    <row r="48" spans="1:1">
      <c r="A48" s="36"/>
    </row>
    <row r="49" spans="1:1">
      <c r="A49" s="36"/>
    </row>
    <row r="50" spans="1:1">
      <c r="A50" s="36"/>
    </row>
    <row r="51" spans="1:1">
      <c r="A51" s="36"/>
    </row>
    <row r="52" spans="1:1">
      <c r="A52" s="36"/>
    </row>
    <row r="53" spans="1:1">
      <c r="A53" s="36"/>
    </row>
    <row r="54" spans="1:1">
      <c r="A54" s="36"/>
    </row>
    <row r="55" spans="1:1">
      <c r="A55" s="36"/>
    </row>
    <row r="56" spans="1:1">
      <c r="A56" s="36"/>
    </row>
    <row r="57" spans="1:1">
      <c r="A57" s="36"/>
    </row>
    <row r="58" spans="1:1">
      <c r="A58" s="36"/>
    </row>
    <row r="59" spans="1:1">
      <c r="A59" s="36"/>
    </row>
    <row r="60" spans="1:1">
      <c r="A60" s="36"/>
    </row>
    <row r="61" spans="1:1">
      <c r="A61" s="36"/>
    </row>
    <row r="62" spans="1:1">
      <c r="A62" s="36"/>
    </row>
    <row r="63" spans="1:1">
      <c r="A63" s="36"/>
    </row>
    <row r="64" spans="1:1">
      <c r="A64" s="36"/>
    </row>
    <row r="65" spans="1:1">
      <c r="A65" s="36"/>
    </row>
    <row r="66" spans="1:1">
      <c r="A66" s="36"/>
    </row>
    <row r="67" spans="1:1">
      <c r="A67" s="36"/>
    </row>
    <row r="68" spans="1:1">
      <c r="A68" s="36"/>
    </row>
    <row r="69" spans="1:1">
      <c r="A69" s="36"/>
    </row>
    <row r="70" spans="1:1">
      <c r="A70" s="36"/>
    </row>
    <row r="71" spans="1:1">
      <c r="A71" s="36"/>
    </row>
    <row r="72" spans="1:1">
      <c r="A72" s="36"/>
    </row>
    <row r="73" spans="1:1">
      <c r="A73" s="36"/>
    </row>
    <row r="74" spans="1:1">
      <c r="A74" s="36"/>
    </row>
    <row r="75" spans="1:1">
      <c r="A75" s="36"/>
    </row>
    <row r="76" spans="1:1">
      <c r="A76" s="36"/>
    </row>
    <row r="77" spans="1:1">
      <c r="A77" s="36"/>
    </row>
    <row r="78" spans="1:1">
      <c r="A78" s="36"/>
    </row>
    <row r="79" spans="1:1">
      <c r="A79" s="36"/>
    </row>
    <row r="80" spans="1:1">
      <c r="A80" s="36"/>
    </row>
    <row r="81" spans="1:1">
      <c r="A81" s="36"/>
    </row>
    <row r="82" spans="1:1">
      <c r="A82" s="36"/>
    </row>
    <row r="83" spans="1:1">
      <c r="A83" s="36"/>
    </row>
    <row r="84" spans="1:1">
      <c r="A84" s="36"/>
    </row>
    <row r="85" spans="1:1">
      <c r="A85" s="36"/>
    </row>
    <row r="86" spans="1:1">
      <c r="A86" s="36"/>
    </row>
    <row r="87" spans="1:1">
      <c r="A87" s="36"/>
    </row>
    <row r="88" spans="1:1">
      <c r="A88" s="36"/>
    </row>
    <row r="89" spans="1:1">
      <c r="A89" s="36"/>
    </row>
    <row r="90" spans="1:1">
      <c r="A90" s="36"/>
    </row>
    <row r="91" spans="1:1">
      <c r="A91" s="36"/>
    </row>
    <row r="92" spans="1:1">
      <c r="A92" s="36"/>
    </row>
    <row r="93" spans="1:1">
      <c r="A93" s="36"/>
    </row>
    <row r="94" spans="1:1">
      <c r="A94" s="36"/>
    </row>
    <row r="95" spans="1:1">
      <c r="A95" s="36"/>
    </row>
    <row r="96" spans="1:1">
      <c r="A96" s="36"/>
    </row>
    <row r="97" spans="1:1">
      <c r="A97" s="36"/>
    </row>
    <row r="98" spans="1:1">
      <c r="A98" s="36"/>
    </row>
    <row r="99" spans="1:1">
      <c r="A99" s="36"/>
    </row>
    <row r="100" spans="1:1">
      <c r="A100" s="36"/>
    </row>
    <row r="101" spans="1:1">
      <c r="A101" s="36"/>
    </row>
    <row r="102" spans="1:1">
      <c r="A102" s="36"/>
    </row>
    <row r="103" spans="1:1">
      <c r="A103" s="36"/>
    </row>
    <row r="104" spans="1:1">
      <c r="A104" s="36"/>
    </row>
    <row r="105" spans="1:1">
      <c r="A105" s="36"/>
    </row>
    <row r="106" spans="1:1">
      <c r="A106" s="36"/>
    </row>
    <row r="107" spans="1:1">
      <c r="A107" s="36"/>
    </row>
    <row r="108" spans="1:1">
      <c r="A108" s="36"/>
    </row>
    <row r="109" spans="1:1">
      <c r="A109" s="36"/>
    </row>
    <row r="110" spans="1:1">
      <c r="A110" s="36"/>
    </row>
    <row r="111" spans="1:1">
      <c r="A111" s="36"/>
    </row>
    <row r="112" spans="1:1">
      <c r="A112" s="36"/>
    </row>
    <row r="113" spans="1:1">
      <c r="A113" s="36"/>
    </row>
    <row r="114" spans="1:1">
      <c r="A114" s="36"/>
    </row>
    <row r="115" spans="1:1">
      <c r="A115" s="36"/>
    </row>
    <row r="116" spans="1:1">
      <c r="A116" s="36"/>
    </row>
    <row r="117" spans="1:1">
      <c r="A117" s="36"/>
    </row>
    <row r="118" spans="1:1">
      <c r="A118" s="36"/>
    </row>
    <row r="119" spans="1:1">
      <c r="A119" s="36"/>
    </row>
    <row r="120" spans="1:1">
      <c r="A120" s="36"/>
    </row>
    <row r="121" spans="1:1">
      <c r="A121" s="36"/>
    </row>
    <row r="122" spans="1:1">
      <c r="A122" s="36"/>
    </row>
    <row r="123" spans="1:1">
      <c r="A123" s="36"/>
    </row>
    <row r="124" spans="1:1">
      <c r="A124" s="36"/>
    </row>
    <row r="125" spans="1:1">
      <c r="A125" s="36"/>
    </row>
    <row r="126" spans="1:1">
      <c r="A126" s="36"/>
    </row>
    <row r="127" spans="1:1">
      <c r="A127" s="36"/>
    </row>
    <row r="128" spans="1:1">
      <c r="A128" s="36"/>
    </row>
    <row r="129" spans="1:1">
      <c r="A129" s="36"/>
    </row>
    <row r="130" spans="1:1">
      <c r="A130" s="36"/>
    </row>
    <row r="131" spans="1:1">
      <c r="A131" s="36"/>
    </row>
    <row r="132" spans="1:1">
      <c r="A132" s="36"/>
    </row>
    <row r="133" spans="1:1">
      <c r="A133" s="36"/>
    </row>
    <row r="134" spans="1:1">
      <c r="A134" s="36"/>
    </row>
    <row r="135" spans="1:1">
      <c r="A135" s="36"/>
    </row>
    <row r="136" spans="1:1">
      <c r="A136" s="36"/>
    </row>
    <row r="137" spans="1:1">
      <c r="A137" s="36"/>
    </row>
    <row r="138" spans="1:1">
      <c r="A138" s="36"/>
    </row>
    <row r="139" spans="1:1">
      <c r="A139" s="36"/>
    </row>
    <row r="140" spans="1:1">
      <c r="A140" s="36"/>
    </row>
    <row r="141" spans="1:1">
      <c r="A141" s="36"/>
    </row>
    <row r="142" spans="1:1">
      <c r="A142" s="36"/>
    </row>
    <row r="143" spans="1:1">
      <c r="A143" s="36"/>
    </row>
    <row r="144" spans="1:1">
      <c r="A144" s="36"/>
    </row>
    <row r="145" spans="1:1">
      <c r="A145" s="36"/>
    </row>
    <row r="146" spans="1:1">
      <c r="A146" s="36"/>
    </row>
    <row r="147" spans="1:1">
      <c r="A147" s="36"/>
    </row>
    <row r="148" spans="1:1">
      <c r="A148" s="36"/>
    </row>
    <row r="149" spans="1:1">
      <c r="A149" s="36"/>
    </row>
    <row r="150" spans="1:1">
      <c r="A150" s="36"/>
    </row>
    <row r="151" spans="1:1">
      <c r="A151" s="36"/>
    </row>
    <row r="152" spans="1:1">
      <c r="A152" s="36"/>
    </row>
    <row r="153" spans="1:1">
      <c r="A153" s="36"/>
    </row>
    <row r="154" spans="1:1">
      <c r="A154" s="36"/>
    </row>
    <row r="155" spans="1:1">
      <c r="A155" s="36"/>
    </row>
    <row r="156" spans="1:1">
      <c r="A156" s="36"/>
    </row>
    <row r="157" spans="1:1">
      <c r="A157" s="36"/>
    </row>
    <row r="158" spans="1:1">
      <c r="A158" s="36"/>
    </row>
    <row r="159" spans="1:1">
      <c r="A159" s="36"/>
    </row>
    <row r="160" spans="1:1">
      <c r="A160" s="36"/>
    </row>
    <row r="161" spans="1:1">
      <c r="A161" s="36"/>
    </row>
    <row r="162" spans="1:1">
      <c r="A162" s="36"/>
    </row>
    <row r="163" spans="1:1">
      <c r="A163" s="36"/>
    </row>
    <row r="164" spans="1:1">
      <c r="A164" s="36"/>
    </row>
    <row r="165" spans="1:1">
      <c r="A165" s="36"/>
    </row>
    <row r="166" spans="1:1">
      <c r="A166" s="36"/>
    </row>
    <row r="167" spans="1:1">
      <c r="A167" s="36"/>
    </row>
    <row r="168" spans="1:1">
      <c r="A168" s="36"/>
    </row>
    <row r="169" spans="1:1">
      <c r="A169" s="36"/>
    </row>
    <row r="170" spans="1:1">
      <c r="A170" s="36"/>
    </row>
    <row r="171" spans="1:1">
      <c r="A171" s="36"/>
    </row>
    <row r="172" spans="1:1">
      <c r="A172" s="36"/>
    </row>
    <row r="173" spans="1:1">
      <c r="A173" s="36"/>
    </row>
    <row r="174" spans="1:1">
      <c r="A174" s="36"/>
    </row>
    <row r="175" spans="1:1">
      <c r="A175" s="36"/>
    </row>
    <row r="176" spans="1:1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  <row r="331" spans="1:1">
      <c r="A331" s="36"/>
    </row>
    <row r="332" spans="1:1">
      <c r="A332" s="36"/>
    </row>
    <row r="333" spans="1:1">
      <c r="A333" s="36"/>
    </row>
    <row r="334" spans="1:1">
      <c r="A334" s="36"/>
    </row>
    <row r="335" spans="1:1">
      <c r="A335" s="36"/>
    </row>
    <row r="336" spans="1:1">
      <c r="A336" s="36"/>
    </row>
    <row r="337" spans="1:1">
      <c r="A337" s="36"/>
    </row>
    <row r="338" spans="1:1">
      <c r="A338" s="36"/>
    </row>
    <row r="339" spans="1:1">
      <c r="A339" s="36"/>
    </row>
    <row r="340" spans="1:1">
      <c r="A340" s="36"/>
    </row>
    <row r="341" spans="1:1">
      <c r="A341" s="36"/>
    </row>
    <row r="342" spans="1:1">
      <c r="A342" s="36"/>
    </row>
    <row r="343" spans="1:1">
      <c r="A343" s="36"/>
    </row>
    <row r="344" spans="1:1">
      <c r="A344" s="36"/>
    </row>
    <row r="345" spans="1:1">
      <c r="A345" s="36"/>
    </row>
    <row r="346" spans="1:1">
      <c r="A346" s="36"/>
    </row>
    <row r="347" spans="1:1">
      <c r="A347" s="36"/>
    </row>
    <row r="348" spans="1:1">
      <c r="A348" s="36"/>
    </row>
    <row r="349" spans="1:1">
      <c r="A349" s="36"/>
    </row>
    <row r="350" spans="1:1">
      <c r="A350" s="36"/>
    </row>
    <row r="351" spans="1:1">
      <c r="A351" s="36"/>
    </row>
    <row r="352" spans="1:1">
      <c r="A352" s="36"/>
    </row>
    <row r="353" spans="1:1">
      <c r="A353" s="36"/>
    </row>
    <row r="354" spans="1:1">
      <c r="A354" s="36"/>
    </row>
    <row r="355" spans="1:1">
      <c r="A355" s="36"/>
    </row>
    <row r="356" spans="1:1">
      <c r="A356" s="36"/>
    </row>
    <row r="357" spans="1:1">
      <c r="A357" s="36"/>
    </row>
    <row r="358" spans="1:1">
      <c r="A358" s="36"/>
    </row>
    <row r="359" spans="1:1">
      <c r="A359" s="36"/>
    </row>
    <row r="360" spans="1:1">
      <c r="A360" s="36"/>
    </row>
    <row r="361" spans="1:1">
      <c r="A361" s="36"/>
    </row>
    <row r="362" spans="1:1">
      <c r="A362" s="36"/>
    </row>
    <row r="363" spans="1:1">
      <c r="A363" s="36"/>
    </row>
    <row r="364" spans="1:1">
      <c r="A364" s="36"/>
    </row>
    <row r="365" spans="1:1">
      <c r="A365" s="36"/>
    </row>
    <row r="366" spans="1:1">
      <c r="A366" s="36"/>
    </row>
    <row r="367" spans="1:1">
      <c r="A367" s="36"/>
    </row>
    <row r="368" spans="1:1">
      <c r="A368" s="36"/>
    </row>
    <row r="369" spans="1:1">
      <c r="A369" s="36"/>
    </row>
    <row r="370" spans="1:1">
      <c r="A370" s="36"/>
    </row>
    <row r="371" spans="1:1">
      <c r="A371" s="36"/>
    </row>
    <row r="372" spans="1:1">
      <c r="A372" s="36"/>
    </row>
    <row r="373" spans="1:1">
      <c r="A373" s="36"/>
    </row>
    <row r="374" spans="1:1">
      <c r="A374" s="36"/>
    </row>
    <row r="375" spans="1:1">
      <c r="A375" s="36"/>
    </row>
    <row r="376" spans="1:1">
      <c r="A376" s="36"/>
    </row>
    <row r="377" spans="1:1">
      <c r="A377" s="36"/>
    </row>
    <row r="378" spans="1:1">
      <c r="A378" s="36"/>
    </row>
    <row r="379" spans="1:1">
      <c r="A379" s="36"/>
    </row>
    <row r="380" spans="1:1">
      <c r="A380" s="36"/>
    </row>
    <row r="381" spans="1:1">
      <c r="A381" s="36"/>
    </row>
    <row r="382" spans="1:1">
      <c r="A382" s="36"/>
    </row>
    <row r="383" spans="1:1">
      <c r="A383" s="36"/>
    </row>
    <row r="384" spans="1:1">
      <c r="A384" s="36"/>
    </row>
    <row r="385" spans="1:1">
      <c r="A385" s="36"/>
    </row>
    <row r="386" spans="1:1">
      <c r="A386" s="36"/>
    </row>
    <row r="387" spans="1:1">
      <c r="A387" s="36"/>
    </row>
    <row r="388" spans="1:1">
      <c r="A388" s="36"/>
    </row>
    <row r="389" spans="1:1">
      <c r="A389" s="36"/>
    </row>
    <row r="390" spans="1:1">
      <c r="A390" s="36"/>
    </row>
    <row r="391" spans="1:1">
      <c r="A391" s="36"/>
    </row>
    <row r="392" spans="1:1">
      <c r="A392" s="36"/>
    </row>
    <row r="393" spans="1:1">
      <c r="A393" s="36"/>
    </row>
    <row r="394" spans="1:1">
      <c r="A394" s="36"/>
    </row>
    <row r="395" spans="1:1">
      <c r="A395" s="36"/>
    </row>
    <row r="396" spans="1:1">
      <c r="A396" s="36"/>
    </row>
    <row r="397" spans="1:1">
      <c r="A397" s="36"/>
    </row>
    <row r="398" spans="1:1">
      <c r="A398" s="36"/>
    </row>
    <row r="399" spans="1:1">
      <c r="A399" s="36"/>
    </row>
    <row r="400" spans="1:1">
      <c r="A400" s="36"/>
    </row>
    <row r="401" spans="1:1">
      <c r="A401" s="36"/>
    </row>
    <row r="402" spans="1:1">
      <c r="A402" s="36"/>
    </row>
    <row r="403" spans="1:1">
      <c r="A403" s="36"/>
    </row>
    <row r="404" spans="1:1">
      <c r="A404" s="36"/>
    </row>
    <row r="405" spans="1:1">
      <c r="A405" s="36"/>
    </row>
    <row r="406" spans="1:1">
      <c r="A406" s="36"/>
    </row>
    <row r="407" spans="1:1">
      <c r="A407" s="36"/>
    </row>
    <row r="408" spans="1:1">
      <c r="A408" s="36"/>
    </row>
    <row r="409" spans="1:1">
      <c r="A409" s="36"/>
    </row>
    <row r="410" spans="1:1">
      <c r="A410" s="36"/>
    </row>
    <row r="411" spans="1:1">
      <c r="A411" s="36"/>
    </row>
    <row r="412" spans="1:1">
      <c r="A412" s="36"/>
    </row>
    <row r="413" spans="1:1">
      <c r="A413" s="36"/>
    </row>
    <row r="414" spans="1:1">
      <c r="A414" s="36"/>
    </row>
    <row r="415" spans="1:1">
      <c r="A415" s="36"/>
    </row>
    <row r="416" spans="1:1">
      <c r="A416" s="36"/>
    </row>
    <row r="417" spans="1:1">
      <c r="A417" s="36"/>
    </row>
    <row r="418" spans="1:1">
      <c r="A418" s="36"/>
    </row>
    <row r="419" spans="1:1">
      <c r="A419" s="36"/>
    </row>
    <row r="420" spans="1:1">
      <c r="A420" s="36"/>
    </row>
    <row r="421" spans="1:1">
      <c r="A421" s="36"/>
    </row>
    <row r="422" spans="1:1">
      <c r="A422" s="36"/>
    </row>
    <row r="423" spans="1:1">
      <c r="A423" s="36"/>
    </row>
    <row r="424" spans="1:1">
      <c r="A424" s="36"/>
    </row>
    <row r="425" spans="1:1">
      <c r="A425" s="36"/>
    </row>
    <row r="426" spans="1:1">
      <c r="A426" s="36"/>
    </row>
    <row r="427" spans="1:1">
      <c r="A427" s="36"/>
    </row>
    <row r="428" spans="1:1">
      <c r="A428" s="36"/>
    </row>
    <row r="429" spans="1:1">
      <c r="A429" s="36"/>
    </row>
    <row r="430" spans="1:1">
      <c r="A430" s="36"/>
    </row>
    <row r="431" spans="1:1">
      <c r="A431" s="36"/>
    </row>
    <row r="432" spans="1:1">
      <c r="A432" s="36"/>
    </row>
    <row r="433" spans="1:1">
      <c r="A433" s="36"/>
    </row>
    <row r="434" spans="1:1">
      <c r="A434" s="36"/>
    </row>
    <row r="435" spans="1:1">
      <c r="A435" s="36"/>
    </row>
    <row r="436" spans="1:1">
      <c r="A436" s="36"/>
    </row>
    <row r="437" spans="1:1">
      <c r="A437" s="36"/>
    </row>
    <row r="438" spans="1:1">
      <c r="A438" s="36"/>
    </row>
    <row r="439" spans="1:1">
      <c r="A439" s="36"/>
    </row>
    <row r="440" spans="1:1">
      <c r="A440" s="36"/>
    </row>
    <row r="441" spans="1:1">
      <c r="A441" s="36"/>
    </row>
    <row r="442" spans="1:1">
      <c r="A442" s="36"/>
    </row>
    <row r="443" spans="1:1">
      <c r="A443" s="36"/>
    </row>
    <row r="444" spans="1:1">
      <c r="A444" s="36"/>
    </row>
    <row r="445" spans="1:1">
      <c r="A445" s="36"/>
    </row>
    <row r="446" spans="1:1">
      <c r="A446" s="36"/>
    </row>
    <row r="447" spans="1:1">
      <c r="A447" s="36"/>
    </row>
    <row r="448" spans="1:1">
      <c r="A448" s="36"/>
    </row>
    <row r="449" spans="1:1">
      <c r="A449" s="36"/>
    </row>
    <row r="450" spans="1:1">
      <c r="A450" s="36"/>
    </row>
    <row r="451" spans="1:1">
      <c r="A451" s="36"/>
    </row>
    <row r="452" spans="1:1">
      <c r="A452" s="36"/>
    </row>
    <row r="453" spans="1:1">
      <c r="A453" s="36"/>
    </row>
    <row r="454" spans="1:1">
      <c r="A454" s="36"/>
    </row>
    <row r="455" spans="1:1">
      <c r="A455" s="36"/>
    </row>
    <row r="456" spans="1:1">
      <c r="A456" s="36"/>
    </row>
    <row r="457" spans="1:1">
      <c r="A457" s="36"/>
    </row>
    <row r="458" spans="1:1">
      <c r="A458" s="36"/>
    </row>
    <row r="459" spans="1:1">
      <c r="A459" s="36"/>
    </row>
    <row r="460" spans="1:1">
      <c r="A460" s="36"/>
    </row>
    <row r="461" spans="1:1">
      <c r="A461" s="36"/>
    </row>
    <row r="462" spans="1:1">
      <c r="A462" s="36"/>
    </row>
    <row r="463" spans="1:1">
      <c r="A463" s="36"/>
    </row>
    <row r="464" spans="1:1">
      <c r="A464" s="36"/>
    </row>
    <row r="465" spans="1:1">
      <c r="A465" s="36"/>
    </row>
    <row r="466" spans="1:1">
      <c r="A466" s="36"/>
    </row>
    <row r="467" spans="1:1">
      <c r="A467" s="36"/>
    </row>
    <row r="468" spans="1:1">
      <c r="A468" s="36"/>
    </row>
    <row r="469" spans="1:1">
      <c r="A469" s="36"/>
    </row>
    <row r="470" spans="1:1">
      <c r="A470" s="36"/>
    </row>
    <row r="471" spans="1:1">
      <c r="A471" s="36"/>
    </row>
    <row r="472" spans="1:1">
      <c r="A472" s="36"/>
    </row>
    <row r="473" spans="1:1">
      <c r="A473" s="36"/>
    </row>
    <row r="474" spans="1:1">
      <c r="A474" s="36"/>
    </row>
    <row r="475" spans="1:1">
      <c r="A475" s="36"/>
    </row>
    <row r="476" spans="1:1">
      <c r="A476" s="36"/>
    </row>
    <row r="477" spans="1:1">
      <c r="A477" s="36"/>
    </row>
    <row r="478" spans="1:1">
      <c r="A478" s="36"/>
    </row>
    <row r="479" spans="1:1">
      <c r="A479" s="36"/>
    </row>
    <row r="480" spans="1:1">
      <c r="A480" s="36"/>
    </row>
    <row r="481" spans="1:1">
      <c r="A481" s="36"/>
    </row>
    <row r="482" spans="1:1">
      <c r="A482" s="36"/>
    </row>
    <row r="483" spans="1:1">
      <c r="A483" s="36"/>
    </row>
    <row r="484" spans="1:1">
      <c r="A484" s="36"/>
    </row>
    <row r="485" spans="1:1">
      <c r="A485" s="36"/>
    </row>
    <row r="486" spans="1:1">
      <c r="A486" s="36"/>
    </row>
    <row r="487" spans="1:1">
      <c r="A487" s="36"/>
    </row>
    <row r="488" spans="1:1">
      <c r="A488" s="36"/>
    </row>
    <row r="489" spans="1:1">
      <c r="A489" s="36"/>
    </row>
    <row r="490" spans="1:1">
      <c r="A490" s="36"/>
    </row>
    <row r="491" spans="1:1">
      <c r="A491" s="36"/>
    </row>
    <row r="492" spans="1:1">
      <c r="A492" s="36"/>
    </row>
    <row r="493" spans="1:1">
      <c r="A493" s="36"/>
    </row>
    <row r="494" spans="1:1">
      <c r="A494" s="36"/>
    </row>
    <row r="495" spans="1:1">
      <c r="A495" s="36"/>
    </row>
    <row r="496" spans="1:1">
      <c r="A496" s="36"/>
    </row>
    <row r="497" spans="1:1">
      <c r="A497" s="36"/>
    </row>
    <row r="498" spans="1:1">
      <c r="A498" s="36"/>
    </row>
    <row r="499" spans="1:1">
      <c r="A499" s="36"/>
    </row>
    <row r="500" spans="1:1">
      <c r="A500" s="36"/>
    </row>
    <row r="501" spans="1:1">
      <c r="A501" s="36"/>
    </row>
    <row r="502" spans="1:1">
      <c r="A502" s="36"/>
    </row>
    <row r="503" spans="1:1">
      <c r="A503" s="36"/>
    </row>
    <row r="504" spans="1:1">
      <c r="A504" s="36"/>
    </row>
    <row r="505" spans="1:1">
      <c r="A505" s="36"/>
    </row>
    <row r="506" spans="1:1">
      <c r="A506" s="36"/>
    </row>
    <row r="507" spans="1:1">
      <c r="A507" s="36"/>
    </row>
    <row r="508" spans="1:1">
      <c r="A508" s="36"/>
    </row>
    <row r="509" spans="1:1">
      <c r="A509" s="36"/>
    </row>
    <row r="510" spans="1:1">
      <c r="A510" s="36"/>
    </row>
    <row r="511" spans="1:1">
      <c r="A511" s="36"/>
    </row>
    <row r="512" spans="1:1">
      <c r="A512" s="36"/>
    </row>
    <row r="513" spans="1:1">
      <c r="A513" s="36"/>
    </row>
    <row r="514" spans="1:1">
      <c r="A514" s="36"/>
    </row>
    <row r="515" spans="1:1">
      <c r="A515" s="36"/>
    </row>
    <row r="516" spans="1:1">
      <c r="A516" s="36"/>
    </row>
    <row r="517" spans="1:1">
      <c r="A517" s="36"/>
    </row>
    <row r="518" spans="1:1">
      <c r="A518" s="36"/>
    </row>
    <row r="519" spans="1:1">
      <c r="A519" s="36"/>
    </row>
    <row r="520" spans="1:1">
      <c r="A520" s="36"/>
    </row>
    <row r="521" spans="1:1">
      <c r="A521" s="36"/>
    </row>
    <row r="522" spans="1:1">
      <c r="A522" s="36"/>
    </row>
    <row r="523" spans="1:1">
      <c r="A523" s="36"/>
    </row>
    <row r="524" spans="1:1">
      <c r="A524" s="36"/>
    </row>
    <row r="525" spans="1:1">
      <c r="A525" s="36"/>
    </row>
    <row r="526" spans="1:1">
      <c r="A526" s="36"/>
    </row>
    <row r="527" spans="1:1">
      <c r="A527" s="36"/>
    </row>
    <row r="528" spans="1:1">
      <c r="A528" s="36"/>
    </row>
    <row r="529" spans="1:1">
      <c r="A529" s="36"/>
    </row>
    <row r="530" spans="1:1">
      <c r="A530" s="36"/>
    </row>
    <row r="531" spans="1:1">
      <c r="A531" s="36"/>
    </row>
    <row r="532" spans="1:1">
      <c r="A532" s="36"/>
    </row>
    <row r="533" spans="1:1">
      <c r="A533" s="36"/>
    </row>
    <row r="534" spans="1:1">
      <c r="A534" s="36"/>
    </row>
    <row r="535" spans="1:1">
      <c r="A535" s="36"/>
    </row>
    <row r="536" spans="1:1">
      <c r="A536" s="36"/>
    </row>
    <row r="537" spans="1:1">
      <c r="A537" s="36"/>
    </row>
    <row r="538" spans="1:1">
      <c r="A538" s="36"/>
    </row>
    <row r="539" spans="1:1">
      <c r="A539" s="36"/>
    </row>
    <row r="540" spans="1:1">
      <c r="A540" s="36"/>
    </row>
    <row r="541" spans="1:1">
      <c r="A541" s="36"/>
    </row>
    <row r="542" spans="1:1">
      <c r="A542" s="36"/>
    </row>
    <row r="543" spans="1:1">
      <c r="A543" s="36"/>
    </row>
    <row r="544" spans="1:1">
      <c r="A544" s="36"/>
    </row>
    <row r="545" spans="1:1">
      <c r="A545" s="36"/>
    </row>
    <row r="546" spans="1:1">
      <c r="A546" s="36"/>
    </row>
    <row r="547" spans="1:1">
      <c r="A547" s="36"/>
    </row>
    <row r="548" spans="1:1">
      <c r="A548" s="36"/>
    </row>
    <row r="549" spans="1:1">
      <c r="A549" s="36"/>
    </row>
    <row r="550" spans="1:1">
      <c r="A550" s="36"/>
    </row>
    <row r="551" spans="1:1">
      <c r="A551" s="36"/>
    </row>
    <row r="552" spans="1:1">
      <c r="A552" s="36"/>
    </row>
    <row r="553" spans="1:1">
      <c r="A553" s="36"/>
    </row>
    <row r="554" spans="1:1">
      <c r="A554" s="36"/>
    </row>
    <row r="555" spans="1:1">
      <c r="A555" s="36"/>
    </row>
    <row r="556" spans="1:1">
      <c r="A556" s="36"/>
    </row>
    <row r="557" spans="1:1">
      <c r="A557" s="36"/>
    </row>
    <row r="558" spans="1:1">
      <c r="A558" s="36"/>
    </row>
    <row r="559" spans="1:1">
      <c r="A559" s="36"/>
    </row>
    <row r="560" spans="1:1">
      <c r="A560" s="36"/>
    </row>
    <row r="561" spans="1:1">
      <c r="A561" s="36"/>
    </row>
    <row r="562" spans="1:1">
      <c r="A562" s="36"/>
    </row>
    <row r="563" spans="1:1">
      <c r="A563" s="36"/>
    </row>
    <row r="564" spans="1:1">
      <c r="A564" s="36"/>
    </row>
    <row r="565" spans="1:1">
      <c r="A565" s="36"/>
    </row>
    <row r="566" spans="1:1">
      <c r="A566" s="36"/>
    </row>
    <row r="567" spans="1:1">
      <c r="A567" s="36"/>
    </row>
    <row r="568" spans="1:1">
      <c r="A568" s="36"/>
    </row>
    <row r="569" spans="1:1">
      <c r="A569" s="36"/>
    </row>
    <row r="570" spans="1:1">
      <c r="A570" s="36"/>
    </row>
    <row r="571" spans="1:1">
      <c r="A571" s="36"/>
    </row>
    <row r="572" spans="1:1">
      <c r="A572" s="36"/>
    </row>
    <row r="573" spans="1:1">
      <c r="A573" s="36"/>
    </row>
    <row r="574" spans="1:1">
      <c r="A574" s="36"/>
    </row>
    <row r="575" spans="1:1">
      <c r="A575" s="36"/>
    </row>
    <row r="576" spans="1:1">
      <c r="A576" s="36"/>
    </row>
    <row r="577" spans="1:1">
      <c r="A577" s="36"/>
    </row>
    <row r="578" spans="1:1">
      <c r="A578" s="36"/>
    </row>
    <row r="579" spans="1:1">
      <c r="A579" s="36"/>
    </row>
    <row r="580" spans="1:1">
      <c r="A580" s="36"/>
    </row>
    <row r="581" spans="1:1">
      <c r="A581" s="36"/>
    </row>
    <row r="582" spans="1:1">
      <c r="A582" s="36"/>
    </row>
    <row r="583" spans="1:1">
      <c r="A583" s="36"/>
    </row>
    <row r="584" spans="1:1">
      <c r="A584" s="36"/>
    </row>
    <row r="585" spans="1:1">
      <c r="A585" s="36"/>
    </row>
    <row r="586" spans="1:1">
      <c r="A586" s="36"/>
    </row>
    <row r="587" spans="1:1">
      <c r="A587" s="36"/>
    </row>
    <row r="588" spans="1:1">
      <c r="A588" s="36"/>
    </row>
    <row r="589" spans="1:1">
      <c r="A589" s="36"/>
    </row>
    <row r="590" spans="1:1">
      <c r="A590" s="36"/>
    </row>
    <row r="591" spans="1:1">
      <c r="A591" s="36"/>
    </row>
    <row r="592" spans="1:1">
      <c r="A592" s="36"/>
    </row>
    <row r="593" spans="1:1">
      <c r="A593" s="36"/>
    </row>
    <row r="594" spans="1:1">
      <c r="A594" s="36"/>
    </row>
    <row r="595" spans="1:1">
      <c r="A595" s="36"/>
    </row>
    <row r="596" spans="1:1">
      <c r="A596" s="36"/>
    </row>
    <row r="597" spans="1:1">
      <c r="A597" s="36"/>
    </row>
    <row r="598" spans="1:1">
      <c r="A598" s="36"/>
    </row>
    <row r="599" spans="1:1">
      <c r="A599" s="36"/>
    </row>
    <row r="600" spans="1:1">
      <c r="A600" s="36"/>
    </row>
    <row r="601" spans="1:1">
      <c r="A601" s="36"/>
    </row>
    <row r="602" spans="1:1">
      <c r="A602" s="36"/>
    </row>
    <row r="603" spans="1:1">
      <c r="A603" s="36"/>
    </row>
    <row r="604" spans="1:1">
      <c r="A604" s="36"/>
    </row>
    <row r="605" spans="1:1">
      <c r="A605" s="36"/>
    </row>
    <row r="606" spans="1:1">
      <c r="A606" s="36"/>
    </row>
    <row r="607" spans="1:1">
      <c r="A607" s="36"/>
    </row>
    <row r="608" spans="1:1">
      <c r="A608" s="36"/>
    </row>
    <row r="609" spans="1:1">
      <c r="A609" s="36"/>
    </row>
    <row r="610" spans="1:1">
      <c r="A610" s="36"/>
    </row>
    <row r="611" spans="1:1">
      <c r="A611" s="36"/>
    </row>
    <row r="612" spans="1:1">
      <c r="A612" s="36"/>
    </row>
    <row r="613" spans="1:1">
      <c r="A613" s="36"/>
    </row>
    <row r="614" spans="1:1">
      <c r="A614" s="36"/>
    </row>
    <row r="615" spans="1:1">
      <c r="A615" s="36"/>
    </row>
    <row r="616" spans="1:1">
      <c r="A616" s="36"/>
    </row>
    <row r="617" spans="1:1">
      <c r="A617" s="36"/>
    </row>
    <row r="618" spans="1:1">
      <c r="A618" s="36"/>
    </row>
    <row r="619" spans="1:1">
      <c r="A619" s="36"/>
    </row>
    <row r="620" spans="1:1">
      <c r="A620" s="36"/>
    </row>
    <row r="621" spans="1:1">
      <c r="A621" s="36"/>
    </row>
    <row r="622" spans="1:1">
      <c r="A622" s="36"/>
    </row>
    <row r="623" spans="1:1">
      <c r="A623" s="36"/>
    </row>
    <row r="624" spans="1:1">
      <c r="A624" s="36"/>
    </row>
    <row r="625" spans="1:1">
      <c r="A625" s="36"/>
    </row>
    <row r="626" spans="1:1">
      <c r="A626" s="36"/>
    </row>
    <row r="627" spans="1:1">
      <c r="A627" s="36"/>
    </row>
    <row r="628" spans="1:1">
      <c r="A628" s="36"/>
    </row>
    <row r="629" spans="1:1">
      <c r="A629" s="36"/>
    </row>
    <row r="630" spans="1:1">
      <c r="A630" s="36"/>
    </row>
    <row r="631" spans="1:1">
      <c r="A631" s="36"/>
    </row>
    <row r="632" spans="1:1">
      <c r="A632" s="36"/>
    </row>
    <row r="633" spans="1:1">
      <c r="A633" s="36"/>
    </row>
    <row r="634" spans="1:1">
      <c r="A634" s="36"/>
    </row>
    <row r="635" spans="1:1">
      <c r="A635" s="36"/>
    </row>
    <row r="636" spans="1:1">
      <c r="A636" s="36"/>
    </row>
    <row r="637" spans="1:1">
      <c r="A637" s="36"/>
    </row>
    <row r="638" spans="1:1">
      <c r="A638" s="36"/>
    </row>
    <row r="639" spans="1:1">
      <c r="A639" s="36"/>
    </row>
    <row r="640" spans="1:1">
      <c r="A640" s="36"/>
    </row>
    <row r="641" spans="1:1">
      <c r="A641" s="36"/>
    </row>
    <row r="642" spans="1:1">
      <c r="A642" s="36"/>
    </row>
    <row r="643" spans="1:1">
      <c r="A643" s="36"/>
    </row>
    <row r="644" spans="1:1">
      <c r="A644" s="36"/>
    </row>
    <row r="645" spans="1:1">
      <c r="A645" s="36"/>
    </row>
    <row r="646" spans="1:1">
      <c r="A646" s="36"/>
    </row>
    <row r="647" spans="1:1">
      <c r="A647" s="36"/>
    </row>
    <row r="648" spans="1:1">
      <c r="A648" s="36"/>
    </row>
    <row r="649" spans="1:1">
      <c r="A649" s="36"/>
    </row>
    <row r="650" spans="1:1">
      <c r="A650" s="36"/>
    </row>
    <row r="651" spans="1:1">
      <c r="A651" s="36"/>
    </row>
    <row r="652" spans="1:1">
      <c r="A652" s="36"/>
    </row>
    <row r="653" spans="1:1">
      <c r="A653" s="36"/>
    </row>
    <row r="654" spans="1:1">
      <c r="A654" s="36"/>
    </row>
    <row r="655" spans="1:1">
      <c r="A655" s="36"/>
    </row>
    <row r="656" spans="1:1">
      <c r="A656" s="36"/>
    </row>
    <row r="657" spans="1:1">
      <c r="A657" s="36"/>
    </row>
    <row r="658" spans="1:1">
      <c r="A658" s="36"/>
    </row>
    <row r="659" spans="1:1">
      <c r="A659" s="36"/>
    </row>
    <row r="660" spans="1:1">
      <c r="A660" s="36"/>
    </row>
    <row r="661" spans="1:1">
      <c r="A661" s="36"/>
    </row>
    <row r="662" spans="1:1">
      <c r="A662" s="36"/>
    </row>
    <row r="663" spans="1:1">
      <c r="A663" s="36"/>
    </row>
    <row r="664" spans="1:1">
      <c r="A664" s="36"/>
    </row>
    <row r="665" spans="1:1">
      <c r="A665" s="36"/>
    </row>
    <row r="666" spans="1:1">
      <c r="A666" s="36"/>
    </row>
    <row r="667" spans="1:1">
      <c r="A667" s="36"/>
    </row>
    <row r="668" spans="1:1">
      <c r="A668" s="36"/>
    </row>
    <row r="669" spans="1:1">
      <c r="A669" s="36"/>
    </row>
    <row r="670" spans="1:1">
      <c r="A670" s="36"/>
    </row>
    <row r="671" spans="1:1">
      <c r="A671" s="36"/>
    </row>
    <row r="672" spans="1:1">
      <c r="A672" s="36"/>
    </row>
    <row r="673" spans="1:1">
      <c r="A673" s="36"/>
    </row>
    <row r="674" spans="1:1">
      <c r="A674" s="36"/>
    </row>
    <row r="675" spans="1:1">
      <c r="A675" s="36"/>
    </row>
    <row r="676" spans="1:1">
      <c r="A676" s="36"/>
    </row>
    <row r="677" spans="1:1">
      <c r="A677" s="36"/>
    </row>
    <row r="678" spans="1:1">
      <c r="A678" s="36"/>
    </row>
    <row r="679" spans="1:1">
      <c r="A679" s="36"/>
    </row>
    <row r="680" spans="1:1">
      <c r="A680" s="36"/>
    </row>
    <row r="681" spans="1:1">
      <c r="A681" s="36"/>
    </row>
    <row r="682" spans="1:1">
      <c r="A682" s="36"/>
    </row>
    <row r="683" spans="1:1">
      <c r="A683" s="36"/>
    </row>
    <row r="684" spans="1:1">
      <c r="A684" s="36"/>
    </row>
    <row r="685" spans="1:1">
      <c r="A685" s="36"/>
    </row>
    <row r="686" spans="1:1">
      <c r="A686" s="36"/>
    </row>
    <row r="687" spans="1:1">
      <c r="A687" s="36"/>
    </row>
    <row r="688" spans="1:1">
      <c r="A688" s="36"/>
    </row>
    <row r="689" spans="1:1">
      <c r="A689" s="36"/>
    </row>
    <row r="690" spans="1:1">
      <c r="A690" s="36"/>
    </row>
    <row r="691" spans="1:1">
      <c r="A691" s="36"/>
    </row>
    <row r="692" spans="1:1">
      <c r="A692" s="36"/>
    </row>
    <row r="693" spans="1:1">
      <c r="A693" s="36"/>
    </row>
    <row r="694" spans="1:1">
      <c r="A694" s="36"/>
    </row>
    <row r="695" spans="1:1">
      <c r="A695" s="36"/>
    </row>
    <row r="696" spans="1:1">
      <c r="A696" s="36"/>
    </row>
    <row r="697" spans="1:1">
      <c r="A697" s="36"/>
    </row>
    <row r="698" spans="1:1">
      <c r="A698" s="36"/>
    </row>
    <row r="699" spans="1:1">
      <c r="A699" s="36"/>
    </row>
    <row r="700" spans="1:1">
      <c r="A700" s="36"/>
    </row>
    <row r="701" spans="1:1">
      <c r="A701" s="36"/>
    </row>
    <row r="702" spans="1:1">
      <c r="A702" s="36"/>
    </row>
    <row r="703" spans="1:1">
      <c r="A703" s="36"/>
    </row>
    <row r="704" spans="1:1">
      <c r="A704" s="36"/>
    </row>
    <row r="705" spans="1:1">
      <c r="A705" s="36"/>
    </row>
    <row r="706" spans="1:1">
      <c r="A706" s="36"/>
    </row>
    <row r="707" spans="1:1">
      <c r="A707" s="36"/>
    </row>
    <row r="708" spans="1:1">
      <c r="A708" s="36"/>
    </row>
    <row r="709" spans="1:1">
      <c r="A709" s="36"/>
    </row>
    <row r="710" spans="1:1">
      <c r="A710" s="36"/>
    </row>
    <row r="711" spans="1:1">
      <c r="A711" s="36"/>
    </row>
    <row r="712" spans="1:1">
      <c r="A712" s="36"/>
    </row>
    <row r="713" spans="1:1">
      <c r="A713" s="36"/>
    </row>
    <row r="714" spans="1:1">
      <c r="A714" s="36"/>
    </row>
    <row r="715" spans="1:1">
      <c r="A715" s="36"/>
    </row>
    <row r="716" spans="1:1">
      <c r="A716" s="36"/>
    </row>
    <row r="717" spans="1:1">
      <c r="A717" s="36"/>
    </row>
    <row r="718" spans="1:1">
      <c r="A718" s="36"/>
    </row>
    <row r="719" spans="1:1">
      <c r="A719" s="36"/>
    </row>
    <row r="720" spans="1:1">
      <c r="A720" s="36"/>
    </row>
    <row r="721" spans="1:1">
      <c r="A721" s="36"/>
    </row>
    <row r="722" spans="1:1">
      <c r="A722" s="36"/>
    </row>
    <row r="723" spans="1:1">
      <c r="A723" s="36"/>
    </row>
    <row r="724" spans="1:1">
      <c r="A724" s="36"/>
    </row>
    <row r="725" spans="1:1">
      <c r="A725" s="36"/>
    </row>
    <row r="726" spans="1:1">
      <c r="A726" s="36"/>
    </row>
    <row r="727" spans="1:1">
      <c r="A727" s="36"/>
    </row>
    <row r="728" spans="1:1">
      <c r="A728" s="36"/>
    </row>
    <row r="729" spans="1:1">
      <c r="A729" s="36"/>
    </row>
    <row r="730" spans="1:1">
      <c r="A730" s="36"/>
    </row>
    <row r="731" spans="1:1">
      <c r="A731" s="36"/>
    </row>
    <row r="732" spans="1:1">
      <c r="A732" s="36"/>
    </row>
    <row r="733" spans="1:1">
      <c r="A733" s="36"/>
    </row>
    <row r="734" spans="1:1">
      <c r="A734" s="36"/>
    </row>
    <row r="735" spans="1:1">
      <c r="A735" s="36"/>
    </row>
    <row r="736" spans="1:1">
      <c r="A736" s="36"/>
    </row>
    <row r="737" spans="1:1">
      <c r="A737" s="36"/>
    </row>
    <row r="738" spans="1:1">
      <c r="A738" s="36"/>
    </row>
    <row r="739" spans="1:1">
      <c r="A739" s="36"/>
    </row>
    <row r="740" spans="1:1">
      <c r="A740" s="36"/>
    </row>
    <row r="741" spans="1:1">
      <c r="A741" s="36"/>
    </row>
    <row r="742" spans="1:1">
      <c r="A742" s="36"/>
    </row>
    <row r="743" spans="1:1">
      <c r="A743" s="36"/>
    </row>
    <row r="744" spans="1:1">
      <c r="A744" s="36"/>
    </row>
    <row r="745" spans="1:1">
      <c r="A745" s="36"/>
    </row>
    <row r="746" spans="1:1">
      <c r="A746" s="36"/>
    </row>
    <row r="747" spans="1:1">
      <c r="A747" s="36"/>
    </row>
    <row r="748" spans="1:1">
      <c r="A748" s="36"/>
    </row>
    <row r="749" spans="1:1">
      <c r="A749" s="36"/>
    </row>
    <row r="750" spans="1:1">
      <c r="A750" s="36"/>
    </row>
    <row r="751" spans="1:1">
      <c r="A751" s="36"/>
    </row>
    <row r="752" spans="1:1">
      <c r="A752" s="36"/>
    </row>
    <row r="753" spans="1:1">
      <c r="A753" s="36"/>
    </row>
    <row r="754" spans="1:1">
      <c r="A754" s="36"/>
    </row>
    <row r="755" spans="1:1">
      <c r="A755" s="36"/>
    </row>
    <row r="756" spans="1:1">
      <c r="A756" s="36"/>
    </row>
    <row r="757" spans="1:1">
      <c r="A757" s="36"/>
    </row>
    <row r="758" spans="1:1">
      <c r="A758" s="36"/>
    </row>
    <row r="759" spans="1:1">
      <c r="A759" s="36"/>
    </row>
    <row r="760" spans="1:1">
      <c r="A760" s="36"/>
    </row>
    <row r="761" spans="1:1">
      <c r="A761" s="36"/>
    </row>
    <row r="762" spans="1:1">
      <c r="A762" s="36"/>
    </row>
    <row r="763" spans="1:1">
      <c r="A763" s="36"/>
    </row>
    <row r="764" spans="1:1">
      <c r="A764" s="36"/>
    </row>
    <row r="765" spans="1:1">
      <c r="A765" s="36"/>
    </row>
    <row r="766" spans="1:1">
      <c r="A766" s="36"/>
    </row>
    <row r="767" spans="1:1">
      <c r="A767" s="36"/>
    </row>
    <row r="768" spans="1:1">
      <c r="A768" s="36"/>
    </row>
    <row r="769" spans="1:1">
      <c r="A769" s="36"/>
    </row>
    <row r="770" spans="1:1">
      <c r="A770" s="36"/>
    </row>
    <row r="771" spans="1:1">
      <c r="A771" s="36"/>
    </row>
    <row r="772" spans="1:1">
      <c r="A772" s="36"/>
    </row>
    <row r="773" spans="1:1">
      <c r="A773" s="36"/>
    </row>
    <row r="774" spans="1:1">
      <c r="A774" s="36"/>
    </row>
    <row r="775" spans="1:1">
      <c r="A775" s="36"/>
    </row>
    <row r="776" spans="1:1">
      <c r="A776" s="36"/>
    </row>
    <row r="777" spans="1:1">
      <c r="A777" s="36"/>
    </row>
    <row r="778" spans="1:1">
      <c r="A778" s="36"/>
    </row>
    <row r="779" spans="1:1">
      <c r="A779" s="36"/>
    </row>
    <row r="780" spans="1:1">
      <c r="A780" s="36"/>
    </row>
    <row r="781" spans="1:1">
      <c r="A781" s="36"/>
    </row>
    <row r="782" spans="1:1">
      <c r="A782" s="36"/>
    </row>
    <row r="783" spans="1:1">
      <c r="A783" s="36"/>
    </row>
    <row r="784" spans="1:1">
      <c r="A784" s="36"/>
    </row>
    <row r="785" spans="1:1">
      <c r="A785" s="36"/>
    </row>
    <row r="786" spans="1:1">
      <c r="A786" s="36"/>
    </row>
    <row r="787" spans="1:1">
      <c r="A787" s="36"/>
    </row>
    <row r="788" spans="1:1">
      <c r="A788" s="36"/>
    </row>
    <row r="789" spans="1:1">
      <c r="A789" s="36"/>
    </row>
    <row r="790" spans="1:1">
      <c r="A790" s="36"/>
    </row>
    <row r="791" spans="1:1">
      <c r="A791" s="36"/>
    </row>
    <row r="792" spans="1:1">
      <c r="A792" s="36"/>
    </row>
    <row r="793" spans="1:1">
      <c r="A793" s="36"/>
    </row>
    <row r="794" spans="1:1">
      <c r="A794" s="36"/>
    </row>
    <row r="795" spans="1:1">
      <c r="A795" s="36"/>
    </row>
    <row r="796" spans="1:1">
      <c r="A796" s="36"/>
    </row>
    <row r="797" spans="1:1">
      <c r="A797" s="36"/>
    </row>
    <row r="798" spans="1:1">
      <c r="A798" s="36"/>
    </row>
    <row r="799" spans="1:1">
      <c r="A799" s="36"/>
    </row>
    <row r="800" spans="1:1">
      <c r="A800" s="36"/>
    </row>
    <row r="801" spans="1:1">
      <c r="A801" s="36"/>
    </row>
    <row r="802" spans="1:1">
      <c r="A802" s="36"/>
    </row>
    <row r="803" spans="1:1">
      <c r="A803" s="36"/>
    </row>
    <row r="804" spans="1:1">
      <c r="A804" s="36"/>
    </row>
    <row r="805" spans="1:1">
      <c r="A805" s="36"/>
    </row>
    <row r="806" spans="1:1">
      <c r="A806" s="36"/>
    </row>
    <row r="807" spans="1:1">
      <c r="A807" s="36"/>
    </row>
    <row r="808" spans="1:1">
      <c r="A808" s="36"/>
    </row>
    <row r="809" spans="1:1">
      <c r="A809" s="36"/>
    </row>
    <row r="810" spans="1:1">
      <c r="A810" s="36"/>
    </row>
    <row r="811" spans="1:1">
      <c r="A811" s="36"/>
    </row>
    <row r="812" spans="1:1">
      <c r="A812" s="36"/>
    </row>
    <row r="813" spans="1:1">
      <c r="A813" s="36"/>
    </row>
    <row r="814" spans="1:1">
      <c r="A814" s="36"/>
    </row>
    <row r="815" spans="1:1">
      <c r="A815" s="36"/>
    </row>
    <row r="816" spans="1:1">
      <c r="A816" s="36"/>
    </row>
    <row r="817" spans="1:1">
      <c r="A817" s="36"/>
    </row>
    <row r="818" spans="1:1">
      <c r="A818" s="36"/>
    </row>
    <row r="819" spans="1:1">
      <c r="A819" s="36"/>
    </row>
    <row r="820" spans="1:1">
      <c r="A820" s="36"/>
    </row>
    <row r="821" spans="1:1">
      <c r="A821" s="36"/>
    </row>
    <row r="822" spans="1:1">
      <c r="A822" s="36"/>
    </row>
    <row r="823" spans="1:1">
      <c r="A823" s="36"/>
    </row>
    <row r="824" spans="1:1">
      <c r="A824" s="36"/>
    </row>
    <row r="825" spans="1:1">
      <c r="A825" s="36"/>
    </row>
    <row r="826" spans="1:1">
      <c r="A826" s="36"/>
    </row>
    <row r="827" spans="1:1">
      <c r="A827" s="36"/>
    </row>
    <row r="828" spans="1:1">
      <c r="A828" s="36"/>
    </row>
    <row r="829" spans="1:1">
      <c r="A829" s="36"/>
    </row>
    <row r="830" spans="1:1">
      <c r="A830" s="36"/>
    </row>
    <row r="831" spans="1:1">
      <c r="A831" s="36"/>
    </row>
    <row r="832" spans="1:1">
      <c r="A832" s="36"/>
    </row>
    <row r="833" spans="1:1">
      <c r="A833" s="36"/>
    </row>
    <row r="834" spans="1:1">
      <c r="A834" s="36"/>
    </row>
    <row r="835" spans="1:1">
      <c r="A835" s="36"/>
    </row>
    <row r="836" spans="1:1">
      <c r="A836" s="36"/>
    </row>
    <row r="837" spans="1:1">
      <c r="A837" s="36"/>
    </row>
    <row r="838" spans="1:1">
      <c r="A838" s="36"/>
    </row>
    <row r="839" spans="1:1">
      <c r="A839" s="36"/>
    </row>
    <row r="840" spans="1:1">
      <c r="A840" s="36"/>
    </row>
    <row r="841" spans="1:1">
      <c r="A841" s="36"/>
    </row>
    <row r="842" spans="1:1">
      <c r="A842" s="36"/>
    </row>
    <row r="843" spans="1:1">
      <c r="A843" s="36"/>
    </row>
    <row r="844" spans="1:1">
      <c r="A844" s="36"/>
    </row>
    <row r="845" spans="1:1">
      <c r="A845" s="36"/>
    </row>
    <row r="846" spans="1:1">
      <c r="A846" s="36"/>
    </row>
    <row r="847" spans="1:1">
      <c r="A847" s="36"/>
    </row>
    <row r="848" spans="1:1">
      <c r="A848" s="36"/>
    </row>
    <row r="849" spans="1:1">
      <c r="A849" s="36"/>
    </row>
    <row r="850" spans="1:1">
      <c r="A850" s="36"/>
    </row>
    <row r="851" spans="1:1">
      <c r="A851" s="36"/>
    </row>
    <row r="852" spans="1:1">
      <c r="A852" s="36"/>
    </row>
    <row r="853" spans="1:1">
      <c r="A853" s="36"/>
    </row>
    <row r="854" spans="1:1">
      <c r="A854" s="36"/>
    </row>
    <row r="855" spans="1:1">
      <c r="A855" s="36"/>
    </row>
    <row r="856" spans="1:1">
      <c r="A856" s="36"/>
    </row>
    <row r="857" spans="1:1">
      <c r="A857" s="36"/>
    </row>
    <row r="858" spans="1:1">
      <c r="A858" s="36"/>
    </row>
    <row r="859" spans="1:1">
      <c r="A859" s="36"/>
    </row>
    <row r="860" spans="1:1">
      <c r="A860" s="36"/>
    </row>
    <row r="861" spans="1:1">
      <c r="A861" s="36"/>
    </row>
    <row r="862" spans="1:1">
      <c r="A862" s="36"/>
    </row>
    <row r="863" spans="1:1">
      <c r="A863" s="36"/>
    </row>
    <row r="864" spans="1:1">
      <c r="A864" s="36"/>
    </row>
    <row r="865" spans="1:1">
      <c r="A865" s="36"/>
    </row>
    <row r="866" spans="1:1">
      <c r="A866" s="36"/>
    </row>
    <row r="867" spans="1:1">
      <c r="A867" s="36"/>
    </row>
    <row r="868" spans="1:1">
      <c r="A868" s="36"/>
    </row>
    <row r="869" spans="1:1">
      <c r="A869" s="36"/>
    </row>
    <row r="870" spans="1:1">
      <c r="A870" s="36"/>
    </row>
    <row r="871" spans="1:1">
      <c r="A871" s="36"/>
    </row>
    <row r="872" spans="1:1">
      <c r="A872" s="36"/>
    </row>
    <row r="873" spans="1:1">
      <c r="A873" s="36"/>
    </row>
    <row r="874" spans="1:1">
      <c r="A874" s="36"/>
    </row>
    <row r="875" spans="1:1">
      <c r="A875" s="36"/>
    </row>
    <row r="876" spans="1:1">
      <c r="A876" s="36"/>
    </row>
    <row r="877" spans="1:1">
      <c r="A877" s="36"/>
    </row>
    <row r="878" spans="1:1">
      <c r="A878" s="36"/>
    </row>
    <row r="879" spans="1:1">
      <c r="A879" s="36"/>
    </row>
    <row r="880" spans="1:1">
      <c r="A880" s="36"/>
    </row>
    <row r="881" spans="1:1">
      <c r="A881" s="36"/>
    </row>
    <row r="882" spans="1:1">
      <c r="A882" s="36"/>
    </row>
    <row r="883" spans="1:1">
      <c r="A883" s="36"/>
    </row>
    <row r="884" spans="1:1">
      <c r="A884" s="36"/>
    </row>
    <row r="885" spans="1:1">
      <c r="A885" s="36"/>
    </row>
    <row r="886" spans="1:1">
      <c r="A886" s="36"/>
    </row>
    <row r="887" spans="1:1">
      <c r="A887" s="36"/>
    </row>
    <row r="888" spans="1:1">
      <c r="A888" s="36"/>
    </row>
    <row r="889" spans="1:1">
      <c r="A889" s="36"/>
    </row>
    <row r="890" spans="1:1">
      <c r="A890" s="36"/>
    </row>
    <row r="891" spans="1:1">
      <c r="A891" s="36"/>
    </row>
    <row r="892" spans="1:1">
      <c r="A892" s="36"/>
    </row>
    <row r="893" spans="1:1">
      <c r="A893" s="36"/>
    </row>
    <row r="894" spans="1:1">
      <c r="A894" s="36"/>
    </row>
    <row r="895" spans="1:1">
      <c r="A895" s="36"/>
    </row>
    <row r="896" spans="1:1">
      <c r="A896" s="36"/>
    </row>
    <row r="897" spans="1:1">
      <c r="A897" s="36"/>
    </row>
    <row r="898" spans="1:1">
      <c r="A898" s="36"/>
    </row>
    <row r="899" spans="1:1">
      <c r="A899" s="36"/>
    </row>
    <row r="900" spans="1:1">
      <c r="A900" s="36"/>
    </row>
    <row r="901" spans="1:1">
      <c r="A901" s="36"/>
    </row>
    <row r="902" spans="1:1">
      <c r="A902" s="36"/>
    </row>
    <row r="903" spans="1:1">
      <c r="A903" s="36"/>
    </row>
    <row r="904" spans="1:1">
      <c r="A904" s="36"/>
    </row>
    <row r="905" spans="1:1">
      <c r="A905" s="36"/>
    </row>
    <row r="906" spans="1:1">
      <c r="A906" s="36"/>
    </row>
    <row r="907" spans="1:1">
      <c r="A907" s="36"/>
    </row>
    <row r="908" spans="1:1">
      <c r="A908" s="36"/>
    </row>
    <row r="909" spans="1:1">
      <c r="A909" s="36"/>
    </row>
    <row r="910" spans="1:1">
      <c r="A910" s="36"/>
    </row>
    <row r="911" spans="1:1">
      <c r="A911" s="36"/>
    </row>
    <row r="912" spans="1:1">
      <c r="A912" s="36"/>
    </row>
    <row r="913" spans="1:1">
      <c r="A913" s="36"/>
    </row>
    <row r="914" spans="1:1">
      <c r="A914" s="36"/>
    </row>
    <row r="915" spans="1:1">
      <c r="A915" s="36"/>
    </row>
    <row r="916" spans="1:1">
      <c r="A916" s="36"/>
    </row>
    <row r="917" spans="1:1">
      <c r="A917" s="36"/>
    </row>
    <row r="918" spans="1:1">
      <c r="A918" s="36"/>
    </row>
    <row r="919" spans="1:1">
      <c r="A919" s="36"/>
    </row>
    <row r="920" spans="1:1">
      <c r="A920" s="36"/>
    </row>
    <row r="921" spans="1:1">
      <c r="A921" s="36"/>
    </row>
    <row r="922" spans="1:1">
      <c r="A922" s="36"/>
    </row>
    <row r="923" spans="1:1">
      <c r="A923" s="36"/>
    </row>
    <row r="924" spans="1:1">
      <c r="A924" s="36"/>
    </row>
    <row r="925" spans="1:1">
      <c r="A925" s="36"/>
    </row>
    <row r="926" spans="1:1">
      <c r="A926" s="36"/>
    </row>
    <row r="927" spans="1:1">
      <c r="A927" s="36"/>
    </row>
    <row r="928" spans="1:1">
      <c r="A928" s="36"/>
    </row>
    <row r="929" spans="1:1">
      <c r="A929" s="36"/>
    </row>
    <row r="930" spans="1:1">
      <c r="A930" s="36"/>
    </row>
    <row r="931" spans="1:1">
      <c r="A931" s="36"/>
    </row>
    <row r="932" spans="1:1">
      <c r="A932" s="36"/>
    </row>
    <row r="933" spans="1:1">
      <c r="A933" s="36"/>
    </row>
    <row r="934" spans="1:1">
      <c r="A934" s="36"/>
    </row>
    <row r="935" spans="1:1">
      <c r="A935" s="36"/>
    </row>
    <row r="936" spans="1:1">
      <c r="A936" s="36"/>
    </row>
    <row r="937" spans="1:1">
      <c r="A937" s="36"/>
    </row>
    <row r="938" spans="1:1">
      <c r="A938" s="36"/>
    </row>
    <row r="939" spans="1:1">
      <c r="A939" s="36"/>
    </row>
    <row r="940" spans="1:1">
      <c r="A940" s="36"/>
    </row>
    <row r="941" spans="1:1">
      <c r="A941" s="36"/>
    </row>
    <row r="942" spans="1:1">
      <c r="A942" s="36"/>
    </row>
    <row r="943" spans="1:1">
      <c r="A943" s="36"/>
    </row>
    <row r="944" spans="1:1">
      <c r="A944" s="36"/>
    </row>
    <row r="945" spans="1:1">
      <c r="A945" s="36"/>
    </row>
    <row r="946" spans="1:1">
      <c r="A946" s="36"/>
    </row>
    <row r="947" spans="1:1">
      <c r="A947" s="36"/>
    </row>
    <row r="948" spans="1:1">
      <c r="A948" s="36"/>
    </row>
    <row r="949" spans="1:1">
      <c r="A949" s="36"/>
    </row>
    <row r="950" spans="1:1">
      <c r="A950" s="36"/>
    </row>
    <row r="951" spans="1:1">
      <c r="A951" s="36"/>
    </row>
    <row r="952" spans="1:1">
      <c r="A952" s="36"/>
    </row>
    <row r="953" spans="1:1">
      <c r="A953" s="36"/>
    </row>
    <row r="954" spans="1:1">
      <c r="A954" s="36"/>
    </row>
    <row r="955" spans="1:1">
      <c r="A955" s="36"/>
    </row>
    <row r="956" spans="1:1">
      <c r="A956" s="36"/>
    </row>
    <row r="957" spans="1:1">
      <c r="A957" s="36"/>
    </row>
    <row r="958" spans="1:1">
      <c r="A958" s="36"/>
    </row>
    <row r="959" spans="1:1">
      <c r="A959" s="36"/>
    </row>
    <row r="960" spans="1:1">
      <c r="A960" s="36"/>
    </row>
    <row r="961" spans="1:1">
      <c r="A961" s="36"/>
    </row>
    <row r="962" spans="1:1">
      <c r="A962" s="36"/>
    </row>
    <row r="963" spans="1:1">
      <c r="A963" s="36"/>
    </row>
    <row r="964" spans="1:1">
      <c r="A964" s="36"/>
    </row>
    <row r="965" spans="1:1">
      <c r="A965" s="36"/>
    </row>
    <row r="966" spans="1:1">
      <c r="A966" s="36"/>
    </row>
    <row r="967" spans="1:1">
      <c r="A967" s="36"/>
    </row>
    <row r="968" spans="1:1">
      <c r="A968" s="36"/>
    </row>
    <row r="969" spans="1:1">
      <c r="A969" s="36"/>
    </row>
    <row r="970" spans="1:1">
      <c r="A970" s="36"/>
    </row>
    <row r="971" spans="1:1">
      <c r="A971" s="36"/>
    </row>
    <row r="972" spans="1:1">
      <c r="A972" s="36"/>
    </row>
    <row r="973" spans="1:1">
      <c r="A973" s="36"/>
    </row>
    <row r="974" spans="1:1">
      <c r="A974" s="36"/>
    </row>
    <row r="975" spans="1:1">
      <c r="A975" s="36"/>
    </row>
    <row r="976" spans="1:1">
      <c r="A976" s="36"/>
    </row>
    <row r="977" spans="1:1">
      <c r="A977" s="36"/>
    </row>
    <row r="978" spans="1:1">
      <c r="A978" s="36"/>
    </row>
    <row r="979" spans="1:1">
      <c r="A979" s="36"/>
    </row>
    <row r="980" spans="1:1">
      <c r="A980" s="36"/>
    </row>
    <row r="981" spans="1:1">
      <c r="A981" s="36"/>
    </row>
    <row r="982" spans="1:1">
      <c r="A982" s="36"/>
    </row>
    <row r="983" spans="1:1">
      <c r="A983" s="36"/>
    </row>
    <row r="984" spans="1:1">
      <c r="A984" s="36"/>
    </row>
    <row r="985" spans="1:1">
      <c r="A985" s="36"/>
    </row>
    <row r="986" spans="1:1">
      <c r="A986" s="36"/>
    </row>
    <row r="987" spans="1:1">
      <c r="A987" s="36"/>
    </row>
    <row r="988" spans="1:1">
      <c r="A988" s="36"/>
    </row>
    <row r="989" spans="1:1">
      <c r="A989" s="36"/>
    </row>
    <row r="990" spans="1:1">
      <c r="A990" s="36"/>
    </row>
    <row r="991" spans="1:1">
      <c r="A991" s="36"/>
    </row>
    <row r="992" spans="1:1">
      <c r="A992" s="36"/>
    </row>
    <row r="993" spans="1:1">
      <c r="A993" s="36"/>
    </row>
    <row r="994" spans="1:1">
      <c r="A994" s="36"/>
    </row>
    <row r="995" spans="1:1">
      <c r="A995" s="36"/>
    </row>
    <row r="996" spans="1:1">
      <c r="A996" s="36"/>
    </row>
    <row r="997" spans="1:1">
      <c r="A997" s="36"/>
    </row>
    <row r="998" spans="1:1">
      <c r="A998" s="36"/>
    </row>
    <row r="999" spans="1:1">
      <c r="A999" s="3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ReadMe</vt:lpstr>
      <vt:lpstr>スケジュール</vt:lpstr>
      <vt:lpstr>休日</vt:lpstr>
      <vt:lpstr>スケジュール!Print_Area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R.W</dc:creator>
  <cp:lastModifiedBy>R.W</cp:lastModifiedBy>
  <cp:lastPrinted>2022-10-19T06:36:07Z</cp:lastPrinted>
  <dcterms:created xsi:type="dcterms:W3CDTF">2020-05-08T16:28:01Z</dcterms:created>
  <dcterms:modified xsi:type="dcterms:W3CDTF">2022-11-27T13:35:07Z</dcterms:modified>
</cp:coreProperties>
</file>