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2" l="1"/>
  <c r="M15" i="2" l="1"/>
  <c r="J23" i="2" l="1"/>
  <c r="J24" i="2"/>
  <c r="J8" i="2" l="1"/>
  <c r="G2" i="2" l="1"/>
  <c r="T16" i="2" l="1"/>
  <c r="U16" i="2"/>
  <c r="AG16" i="2"/>
  <c r="AH16" i="2"/>
  <c r="AI16" i="2"/>
  <c r="L16" i="2"/>
  <c r="X16" i="2"/>
  <c r="AJ16" i="2"/>
  <c r="M16" i="2"/>
  <c r="Y16" i="2"/>
  <c r="AK16" i="2"/>
  <c r="Z16" i="2"/>
  <c r="AL16" i="2"/>
  <c r="AA16" i="2"/>
  <c r="AM16" i="2"/>
  <c r="P16" i="2"/>
  <c r="AN16" i="2"/>
  <c r="AC16" i="2"/>
  <c r="AD16" i="2"/>
  <c r="AE16" i="2"/>
  <c r="V16" i="2"/>
  <c r="W16" i="2"/>
  <c r="N16" i="2"/>
  <c r="AB16" i="2"/>
  <c r="Q16" i="2"/>
  <c r="AO16" i="2"/>
  <c r="R16" i="2"/>
  <c r="AP16" i="2"/>
  <c r="S16" i="2"/>
  <c r="AF16" i="2"/>
  <c r="L15" i="2"/>
  <c r="X15" i="2"/>
  <c r="AJ15" i="2"/>
  <c r="N15" i="2"/>
  <c r="O15" i="2"/>
  <c r="AM15" i="2"/>
  <c r="AN15" i="2"/>
  <c r="Y15" i="2"/>
  <c r="AK15" i="2"/>
  <c r="Z15" i="2"/>
  <c r="AL15" i="2"/>
  <c r="AA15" i="2"/>
  <c r="AB15" i="2"/>
  <c r="Q15" i="2"/>
  <c r="AC15" i="2"/>
  <c r="AO15" i="2"/>
  <c r="AE15" i="2"/>
  <c r="AF15" i="2"/>
  <c r="AH15" i="2"/>
  <c r="P15" i="2"/>
  <c r="R15" i="2"/>
  <c r="AD15" i="2"/>
  <c r="AP15" i="2"/>
  <c r="T15" i="2"/>
  <c r="AG15" i="2"/>
  <c r="W15" i="2"/>
  <c r="S15" i="2"/>
  <c r="AI15" i="2"/>
  <c r="U15" i="2"/>
  <c r="V15" i="2"/>
  <c r="J15" i="2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<sst xmlns="http://schemas.openxmlformats.org/spreadsheetml/2006/main" count="68" uniqueCount="49">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</sst>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176" fontId="1" fillId="0" borderId="10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3"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3" t="s">
        <v>29</v>
      </c>
      <c r="C2" s="54"/>
      <c r="D2" s="55"/>
      <c r="F2" s="3" t="s">
        <v>0</v>
      </c>
      <c r="G2" s="4">
        <f ca="1">TODAY()</f>
        <v>44880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6"/>
      <c r="C3" s="57"/>
      <c r="D3" s="58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9" t="s">
        <v>3</v>
      </c>
      <c r="G5" s="59"/>
      <c r="H5" s="59" t="s">
        <v>9</v>
      </c>
      <c r="I5" s="59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L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0.2</v>
      </c>
      <c r="L14" s="30" t="str">
        <f t="shared" ca="1" si="6"/>
        <v>＞</v>
      </c>
      <c r="M14" s="31" t="str">
        <f t="shared" ca="1" si="3"/>
        <v>＞</v>
      </c>
      <c r="N14" s="31" t="str">
        <f t="shared" ca="1" si="3"/>
        <v>＞</v>
      </c>
      <c r="O14" s="31" t="str">
        <f t="shared" ca="1" si="3"/>
        <v>＞</v>
      </c>
      <c r="P14" s="31" t="str">
        <f t="shared" ca="1" si="3"/>
        <v/>
      </c>
      <c r="Q14" s="31" t="str">
        <f t="shared" ca="1" si="3"/>
        <v/>
      </c>
      <c r="R14" s="31" t="str">
        <f t="shared" ca="1" si="3"/>
        <v/>
      </c>
      <c r="S14" s="31" t="str">
        <f t="shared" ca="1" si="3"/>
        <v/>
      </c>
      <c r="T14" s="31" t="str">
        <f t="shared" ca="1" si="3"/>
        <v/>
      </c>
      <c r="U14" s="31" t="str">
        <f t="shared" ca="1" si="3"/>
        <v/>
      </c>
      <c r="V14" s="31" t="str">
        <f t="shared" ca="1" si="3"/>
        <v/>
      </c>
      <c r="W14" s="31" t="str">
        <f t="shared" ca="1" si="3"/>
        <v/>
      </c>
      <c r="X14" s="31" t="str">
        <f t="shared" ca="1" si="3"/>
        <v/>
      </c>
      <c r="Y14" s="31" t="str">
        <f t="shared" ca="1" si="3"/>
        <v/>
      </c>
      <c r="Z14" s="31" t="str">
        <f t="shared" ca="1" si="3"/>
        <v/>
      </c>
      <c r="AA14" s="31" t="str">
        <f t="shared" ca="1" si="3"/>
        <v/>
      </c>
      <c r="AB14" s="31" t="str">
        <f t="shared" ca="1" si="3"/>
        <v/>
      </c>
      <c r="AC14" s="31" t="str">
        <f t="shared" ca="1" si="4"/>
        <v/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2">
        <v>44878</v>
      </c>
      <c r="F15" s="27">
        <v>44877</v>
      </c>
      <c r="G15" s="28">
        <v>44878</v>
      </c>
      <c r="H15" s="27">
        <v>44877</v>
      </c>
      <c r="I15" s="28"/>
      <c r="J15" s="25" t="str">
        <f t="shared" ca="1" si="5"/>
        <v>実施中(期日超過)</v>
      </c>
      <c r="K15" s="29">
        <v>0.8</v>
      </c>
      <c r="L15" s="30" t="str">
        <f t="shared" ca="1" si="6"/>
        <v>＞</v>
      </c>
      <c r="M15" s="31" t="str">
        <f t="shared" si="3"/>
        <v>◆</v>
      </c>
      <c r="N15" s="31" t="str">
        <f t="shared" ca="1" si="3"/>
        <v>≫</v>
      </c>
      <c r="O15" s="31" t="str">
        <f t="shared" ca="1" si="3"/>
        <v>≫</v>
      </c>
      <c r="P15" s="31" t="str">
        <f t="shared" ca="1" si="3"/>
        <v/>
      </c>
      <c r="Q15" s="31" t="str">
        <f t="shared" ca="1" si="3"/>
        <v/>
      </c>
      <c r="R15" s="31" t="str">
        <f t="shared" ca="1" si="3"/>
        <v/>
      </c>
      <c r="S15" s="31" t="str">
        <f t="shared" ca="1" si="3"/>
        <v/>
      </c>
      <c r="T15" s="31" t="str">
        <f t="shared" ca="1" si="3"/>
        <v/>
      </c>
      <c r="U15" s="31" t="str">
        <f t="shared" ca="1" si="3"/>
        <v/>
      </c>
      <c r="V15" s="31" t="str">
        <f t="shared" ca="1" si="3"/>
        <v/>
      </c>
      <c r="W15" s="31" t="str">
        <f t="shared" ca="1" si="3"/>
        <v/>
      </c>
      <c r="X15" s="31" t="str">
        <f t="shared" ca="1" si="3"/>
        <v/>
      </c>
      <c r="Y15" s="31" t="str">
        <f t="shared" ca="1" si="3"/>
        <v/>
      </c>
      <c r="Z15" s="31" t="str">
        <f t="shared" ca="1" si="3"/>
        <v/>
      </c>
      <c r="AA15" s="31" t="str">
        <f t="shared" ca="1" si="3"/>
        <v/>
      </c>
      <c r="AB15" s="31" t="str">
        <f t="shared" ca="1" si="3"/>
        <v/>
      </c>
      <c r="AC15" s="31" t="str">
        <f t="shared" ca="1" si="4"/>
        <v/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ca="1" si="4"/>
        <v/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26" t="s">
        <v>45</v>
      </c>
      <c r="D16" s="25" t="s">
        <v>25</v>
      </c>
      <c r="E16" s="52">
        <v>44880</v>
      </c>
      <c r="F16" s="27">
        <v>44879</v>
      </c>
      <c r="G16" s="28">
        <v>44880</v>
      </c>
      <c r="H16" s="27">
        <v>44879</v>
      </c>
      <c r="I16" s="28"/>
      <c r="J16" s="25" t="str">
        <f t="shared" ca="1" si="5"/>
        <v>実施中</v>
      </c>
      <c r="K16" s="29">
        <v>0.5</v>
      </c>
      <c r="L16" s="30" t="str">
        <f t="shared" ca="1" si="6"/>
        <v/>
      </c>
      <c r="M16" s="31" t="str">
        <f t="shared" ca="1" si="3"/>
        <v/>
      </c>
      <c r="N16" s="31" t="str">
        <f t="shared" ca="1" si="3"/>
        <v>＞</v>
      </c>
      <c r="O16" s="31" t="str">
        <f t="shared" si="3"/>
        <v>◆</v>
      </c>
      <c r="P16" s="31" t="str">
        <f t="shared" ca="1" si="3"/>
        <v/>
      </c>
      <c r="Q16" s="31" t="str">
        <f t="shared" ca="1" si="3"/>
        <v/>
      </c>
      <c r="R16" s="31" t="str">
        <f t="shared" ca="1" si="3"/>
        <v/>
      </c>
      <c r="S16" s="31" t="str">
        <f t="shared" ca="1" si="3"/>
        <v/>
      </c>
      <c r="T16" s="31" t="str">
        <f t="shared" ca="1" si="3"/>
        <v/>
      </c>
      <c r="U16" s="31" t="str">
        <f t="shared" ca="1" si="3"/>
        <v/>
      </c>
      <c r="V16" s="31" t="str">
        <f t="shared" ca="1" si="3"/>
        <v/>
      </c>
      <c r="W16" s="31" t="str">
        <f t="shared" ca="1" si="3"/>
        <v/>
      </c>
      <c r="X16" s="31" t="str">
        <f t="shared" ca="1" si="3"/>
        <v/>
      </c>
      <c r="Y16" s="31" t="str">
        <f t="shared" ca="1" si="3"/>
        <v/>
      </c>
      <c r="Z16" s="31" t="str">
        <f t="shared" ca="1" si="3"/>
        <v/>
      </c>
      <c r="AA16" s="31" t="str">
        <f t="shared" ca="1" si="3"/>
        <v/>
      </c>
      <c r="AB16" s="31" t="str">
        <f t="shared" ca="1" si="3"/>
        <v/>
      </c>
      <c r="AC16" s="31" t="str">
        <f t="shared" ca="1" si="4"/>
        <v/>
      </c>
      <c r="AD16" s="31" t="str">
        <f t="shared" ca="1" si="4"/>
        <v/>
      </c>
      <c r="AE16" s="31" t="str">
        <f t="shared" ca="1" si="4"/>
        <v/>
      </c>
      <c r="AF16" s="31" t="str">
        <f t="shared" ca="1" si="4"/>
        <v/>
      </c>
      <c r="AG16" s="31" t="str">
        <f t="shared" ca="1" si="4"/>
        <v/>
      </c>
      <c r="AH16" s="31" t="str">
        <f t="shared" ca="1" si="4"/>
        <v/>
      </c>
      <c r="AI16" s="31" t="str">
        <f t="shared" ca="1" si="4"/>
        <v/>
      </c>
      <c r="AJ16" s="31" t="str">
        <f t="shared" ca="1" si="4"/>
        <v/>
      </c>
      <c r="AK16" s="31" t="str">
        <f t="shared" ca="1" si="4"/>
        <v/>
      </c>
      <c r="AL16" s="31" t="str">
        <f t="shared" ca="1" si="4"/>
        <v/>
      </c>
      <c r="AM16" s="31" t="str">
        <f t="shared" ca="1" si="4"/>
        <v/>
      </c>
      <c r="AN16" s="31" t="str">
        <f t="shared" ca="1" si="4"/>
        <v/>
      </c>
      <c r="AO16" s="31" t="str">
        <f t="shared" ca="1" si="4"/>
        <v/>
      </c>
      <c r="AP16" s="32" t="str">
        <f t="shared" ca="1" si="4"/>
        <v/>
      </c>
    </row>
    <row r="17" spans="2:42">
      <c r="B17" s="25"/>
      <c r="C17" s="26" t="s">
        <v>46</v>
      </c>
      <c r="D17" s="25" t="s">
        <v>25</v>
      </c>
      <c r="E17" s="52">
        <v>44882</v>
      </c>
      <c r="F17" s="27">
        <v>44881</v>
      </c>
      <c r="G17" s="28">
        <v>44882</v>
      </c>
      <c r="H17" s="27"/>
      <c r="I17" s="28"/>
      <c r="J17" s="25" t="str">
        <f t="shared" ca="1" si="5"/>
        <v>未着手</v>
      </c>
      <c r="K17" s="29">
        <v>0</v>
      </c>
      <c r="L17" s="3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2"/>
    </row>
    <row r="18" spans="2:42">
      <c r="B18" s="25"/>
      <c r="C18" s="26" t="s">
        <v>47</v>
      </c>
      <c r="D18" s="25" t="s">
        <v>25</v>
      </c>
      <c r="E18" s="52">
        <v>44885</v>
      </c>
      <c r="F18" s="27">
        <v>44883</v>
      </c>
      <c r="G18" s="28">
        <v>44885</v>
      </c>
      <c r="H18" s="27"/>
      <c r="I18" s="28"/>
      <c r="J18" s="25" t="str">
        <f t="shared" ca="1" si="5"/>
        <v>未着手</v>
      </c>
      <c r="K18" s="29">
        <v>0</v>
      </c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2"/>
    </row>
    <row r="19" spans="2:42">
      <c r="B19" s="25"/>
      <c r="C19" s="26" t="s">
        <v>48</v>
      </c>
      <c r="D19" s="25" t="s">
        <v>25</v>
      </c>
      <c r="E19" s="52">
        <v>44895</v>
      </c>
      <c r="F19" s="27">
        <v>44886</v>
      </c>
      <c r="G19" s="28">
        <v>44895</v>
      </c>
      <c r="H19" s="27"/>
      <c r="I19" s="28"/>
      <c r="J19" s="25" t="str">
        <f t="shared" ca="1" si="5"/>
        <v>未着手</v>
      </c>
      <c r="K19" s="29">
        <v>0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2" priority="19">
      <formula>AND($F7&lt;&gt;"",$G7&lt;&gt;"",$F7&lt;=L$5,L$5&lt;=$G7)</formula>
    </cfRule>
    <cfRule type="cellIs" dxfId="21" priority="20" operator="equal">
      <formula>"≫"</formula>
    </cfRule>
  </conditionalFormatting>
  <conditionalFormatting sqref="L5:AP6">
    <cfRule type="cellIs" dxfId="20" priority="17" operator="equal">
      <formula>$G$2</formula>
    </cfRule>
  </conditionalFormatting>
  <conditionalFormatting sqref="J7:J24">
    <cfRule type="containsText" dxfId="19" priority="13" operator="containsText" text="期日超過">
      <formula>NOT(ISERROR(SEARCH("期日超過",J7)))</formula>
    </cfRule>
    <cfRule type="containsText" dxfId="18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17" priority="12">
      <formula>$J7="完了"</formula>
    </cfRule>
  </conditionalFormatting>
  <conditionalFormatting sqref="L4:AP24">
    <cfRule type="expression" dxfId="16" priority="16">
      <formula>L$4&lt;&gt;""</formula>
    </cfRule>
  </conditionalFormatting>
  <conditionalFormatting sqref="B23:D23 C24">
    <cfRule type="expression" dxfId="15" priority="22">
      <formula>$J22="完了"</formula>
    </cfRule>
  </conditionalFormatting>
  <conditionalFormatting sqref="B22">
    <cfRule type="expression" dxfId="14" priority="11">
      <formula>$J22="完了"</formula>
    </cfRule>
  </conditionalFormatting>
  <conditionalFormatting sqref="C12:C13 C20:C21">
    <cfRule type="expression" dxfId="13" priority="10">
      <formula>$J13="完了"</formula>
    </cfRule>
  </conditionalFormatting>
  <conditionalFormatting sqref="L24:AP24">
    <cfRule type="expression" dxfId="12" priority="25">
      <formula>AND($F23&lt;&gt;"",$G23&lt;&gt;"",$F23&lt;=L$5,L$5&lt;=$G23)</formula>
    </cfRule>
    <cfRule type="cellIs" dxfId="11" priority="26" operator="equal">
      <formula>"≫"</formula>
    </cfRule>
  </conditionalFormatting>
  <conditionalFormatting sqref="L23:AP23">
    <cfRule type="expression" dxfId="10" priority="27">
      <formula>AND(#REF!&lt;&gt;"",#REF!&lt;&gt;"",#REF!&lt;=L$5,L$5&lt;=#REF!)</formula>
    </cfRule>
    <cfRule type="cellIs" dxfId="9" priority="28" operator="equal">
      <formula>"≫"</formula>
    </cfRule>
  </conditionalFormatting>
  <conditionalFormatting sqref="F24:G24">
    <cfRule type="expression" dxfId="8" priority="9">
      <formula>$J24="完了"</formula>
    </cfRule>
  </conditionalFormatting>
  <conditionalFormatting sqref="C22">
    <cfRule type="expression" dxfId="7" priority="6">
      <formula>$J23="完了"</formula>
    </cfRule>
  </conditionalFormatting>
  <conditionalFormatting sqref="D22">
    <cfRule type="expression" dxfId="6" priority="7">
      <formula>$J22="完了"</formula>
    </cfRule>
  </conditionalFormatting>
  <conditionalFormatting sqref="E22">
    <cfRule type="expression" dxfId="5" priority="4">
      <formula>$J23="完了"</formula>
    </cfRule>
  </conditionalFormatting>
  <conditionalFormatting sqref="E23 H23:I23">
    <cfRule type="expression" dxfId="4" priority="3">
      <formula>$J23="完了"</formula>
    </cfRule>
  </conditionalFormatting>
  <conditionalFormatting sqref="F23:G23">
    <cfRule type="expression" dxfId="3" priority="2">
      <formula>$J23="完了"</formula>
    </cfRule>
  </conditionalFormatting>
  <conditionalFormatting sqref="F22:G22">
    <cfRule type="expression" dxfId="2" priority="1">
      <formula>$J22="完了"</formula>
    </cfRule>
  </conditionalFormatting>
  <conditionalFormatting sqref="C14:C19">
    <cfRule type="expression" dxfId="1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2022-11-15T13:16:01Z</dcterms:modified>
</cp:coreProperties>
</file>